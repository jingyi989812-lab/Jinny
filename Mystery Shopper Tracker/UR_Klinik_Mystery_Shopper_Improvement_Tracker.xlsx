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racker" sheetId="2" state="visible" r:id="rId4"/>
    <sheet name="Dashboard" sheetId="3" state="visible" r:id="rId5"/>
    <sheet name="MS Reports" sheetId="4" state="visible" r:id="rId6"/>
    <sheet name="Meeting Log" sheetId="5" state="visible" r:id="rId7"/>
    <sheet name="Lists" sheetId="6" state="visible" r:id="rId8"/>
  </sheets>
  <definedNames>
    <definedName function="false" hidden="false" localSheetId="1" name="_xlnm.Print_Titles" vbProcedure="false">Tracker!$3:$4</definedName>
    <definedName function="false" hidden="true" localSheetId="1" name="_xlnm._FilterDatabase" vbProcedure="false">Tracker!$A$4:$X$204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Prefilled priorities are suggestions. Confirm them at the review meeting.</t>
        </r>
      </text>
    </comment>
    <comment ref="M4" authorId="0">
      <text>
        <r>
          <rPr>
            <sz val="10"/>
            <rFont val="Arial"/>
            <family val="2"/>
          </rPr>
          <t xml:space="preserve">Pick a timeline and fill in 'Date agreed'. The target date calculates itself. Need a different date? Just type it over the target date.</t>
        </r>
      </text>
    </comment>
    <comment ref="O4" authorId="0">
      <text>
        <r>
          <rPr>
            <sz val="10"/>
            <rFont val="Arial"/>
            <family val="2"/>
          </rPr>
          <t xml:space="preserve">Open → In progress → Done - to verify → Closed.
Only close after checking the next Mystery Shopper report.</t>
        </r>
      </text>
    </comment>
  </commentList>
</comments>
</file>

<file path=xl/sharedStrings.xml><?xml version="1.0" encoding="utf-8"?>
<sst xmlns="http://schemas.openxmlformats.org/spreadsheetml/2006/main" count="309" uniqueCount="210">
  <si>
    <t xml:space="preserve">Mystery Shopper Improvement Tracker</t>
  </si>
  <si>
    <t xml:space="preserve">Purpose: track every improvement point from Mystery Shopper reports until it is fixed and checked. Set up after the QA internal audit (auditor: Dr. Shen, September 2026).</t>
  </si>
  <si>
    <t xml:space="preserve">THE CYCLE (every report)</t>
  </si>
  <si>
    <t xml:space="preserve">1. New report</t>
  </si>
  <si>
    <t xml:space="preserve">Log it in 'MS Reports'. Then add each improvement point to 'Tracker' (one row per point). Status = Open.</t>
  </si>
  <si>
    <t xml:space="preserve">2. Review meeting</t>
  </si>
  <si>
    <t xml:space="preserve">For each Open point, agree the action plan, PIC, priority and timeline. Type the 'Date agreed'. The target date fills in by itself.</t>
  </si>
  <si>
    <t xml:space="preserve">3. Follow up</t>
  </si>
  <si>
    <t xml:space="preserve">At every meeting, update Status and Progress. Look at the Alert column first: red OVERDUE, then amber Due soon.</t>
  </si>
  <si>
    <t xml:space="preserve">4. Done</t>
  </si>
  <si>
    <t xml:space="preserve">When the action is finished, set Status to 'Done - to verify'. Fill in Date completed and Evidence (e.g. SOP updated, training attendance, new WhatsApp template).</t>
  </si>
  <si>
    <t xml:space="preserve">5. Verify &amp; close</t>
  </si>
  <si>
    <t xml:space="preserve">Check the next Mystery Shopper report for that outlet. Not mentioned again: set Status to 'Closed' and fill in Verified by / date. Mentioned again: set it back to 'In progress' and revise the plan.</t>
  </si>
  <si>
    <t xml:space="preserve">6. Record the meeting</t>
  </si>
  <si>
    <t xml:space="preserve">Add one row in 'Meeting Log' (date, attendees, IDs reviewed, decisions).</t>
  </si>
  <si>
    <t xml:space="preserve">PRIORITY &amp; TIMELINE GUIDE (agree the real timeline at the meeting)</t>
  </si>
  <si>
    <t xml:space="preserve">High</t>
  </si>
  <si>
    <t xml:space="preserve">Affects trust or whether the customer comes back (e.g. sales pressure, long waiting). Aim: within 2 weeks.</t>
  </si>
  <si>
    <t xml:space="preserve">Medium</t>
  </si>
  <si>
    <t xml:space="preserve">Affects comfort or clarity (e.g. treatment steps, technique). Aim: within 1 month.</t>
  </si>
  <si>
    <t xml:space="preserve">Low</t>
  </si>
  <si>
    <t xml:space="preserve">Small preference or quick fix (e.g. reminder by WhatsApp). Aim: within 1 to 2 months.</t>
  </si>
  <si>
    <t xml:space="preserve">STATUS</t>
  </si>
  <si>
    <t xml:space="preserve">Open</t>
  </si>
  <si>
    <t xml:space="preserve">Logged, no action agreed yet.</t>
  </si>
  <si>
    <t xml:space="preserve">In progress</t>
  </si>
  <si>
    <t xml:space="preserve">Action plan agreed and being done.</t>
  </si>
  <si>
    <t xml:space="preserve">Done - to verify</t>
  </si>
  <si>
    <t xml:space="preserve">Action finished. Waiting for the next MS report to confirm it worked.</t>
  </si>
  <si>
    <t xml:space="preserve">Closed</t>
  </si>
  <si>
    <t xml:space="preserve">Verified: the problem did not come back. The row turns grey.</t>
  </si>
  <si>
    <t xml:space="preserve">On hold</t>
  </si>
  <si>
    <t xml:space="preserve">Paused on purpose (write the reason in Remarks).</t>
  </si>
  <si>
    <t xml:space="preserve">ALERT COLUMN (automatic)</t>
  </si>
  <si>
    <t xml:space="preserve">OVERDUE</t>
  </si>
  <si>
    <t xml:space="preserve">Target date has passed and it is not done yet. Discuss first.</t>
  </si>
  <si>
    <t xml:space="preserve">Due soon</t>
  </si>
  <si>
    <t xml:space="preserve">Target date is within the next 7 days.</t>
  </si>
  <si>
    <t xml:space="preserve">On track</t>
  </si>
  <si>
    <t xml:space="preserve">Target date is more than 7 days away.</t>
  </si>
  <si>
    <t xml:space="preserve">Set target</t>
  </si>
  <si>
    <t xml:space="preserve">No target yet: pick a timeline and date agreed.</t>
  </si>
  <si>
    <t xml:space="preserve">CELLS</t>
  </si>
  <si>
    <t xml:space="preserve">White</t>
  </si>
  <si>
    <t xml:space="preserve">Type here.</t>
  </si>
  <si>
    <t xml:space="preserve">Grey</t>
  </si>
  <si>
    <t xml:space="preserve">Automatic (formulas). Don't type, except the target date if you need a custom date.</t>
  </si>
  <si>
    <t xml:space="preserve">ID FORMAT</t>
  </si>
  <si>
    <t xml:space="preserve">MS-YYMM-OUTLET-NN   e.g. MS-2609-CLM-01 = Mystery Shopper, Sep 2026, Cheras Leisure Mall, point 1. Outlet codes are in the Lists sheet (GL, PC, CLM).</t>
  </si>
  <si>
    <t xml:space="preserve">EXAMPLE ROW (example only, not real data: shows how a finished row looks)</t>
  </si>
  <si>
    <t xml:space="preserve">ID</t>
  </si>
  <si>
    <t xml:space="preserve">MS-2610-PC-01</t>
  </si>
  <si>
    <t xml:space="preserve">Outlet</t>
  </si>
  <si>
    <t xml:space="preserve">Puchong</t>
  </si>
  <si>
    <t xml:space="preserve">Improvement point</t>
  </si>
  <si>
    <t xml:space="preserve">Customer not reminded of simple actions during treatment</t>
  </si>
  <si>
    <t xml:space="preserve">Priority</t>
  </si>
  <si>
    <t xml:space="preserve">Agreed action plan</t>
  </si>
  <si>
    <t xml:space="preserve">Add 3 short cue phrases to the therapist script; brief all therapists at the morning huddle</t>
  </si>
  <si>
    <t xml:space="preserve">PIC</t>
  </si>
  <si>
    <t xml:space="preserve">Therapist Lead</t>
  </si>
  <si>
    <t xml:space="preserve">Date agreed / Timeline</t>
  </si>
  <si>
    <t xml:space="preserve">01/10/2026  ·  2 weeks  →  Target date 15/10/2026 (auto)</t>
  </si>
  <si>
    <t xml:space="preserve">Status / Progress</t>
  </si>
  <si>
    <t xml:space="preserve">Done - to verify  ·  Script updated 07/10; all 4 therapists briefed 08/10</t>
  </si>
  <si>
    <t xml:space="preserve">Evidence</t>
  </si>
  <si>
    <t xml:space="preserve">Updated script v2 + huddle attendance sheet</t>
  </si>
  <si>
    <t xml:space="preserve">How to verify</t>
  </si>
  <si>
    <t xml:space="preserve">Next MS report for Puchong: point not mentioned again</t>
  </si>
  <si>
    <t xml:space="preserve">One row per improvement point. White cells: type here.  Grey cells: automatic, don't type.  Set up after the QA internal audit (auditor: Dr. Shen) to track each Mystery Shopper improvement point until it is fixed and verified.</t>
  </si>
  <si>
    <t xml:space="preserve">① FEEDBACK  (from the Mystery Shopper report)</t>
  </si>
  <si>
    <t xml:space="preserve">② ACTION PLAN  (agree at the review meeting)</t>
  </si>
  <si>
    <t xml:space="preserve">③ FOLLOW-UP  (update at every review)</t>
  </si>
  <si>
    <t xml:space="preserve">④ VERIFY &amp; CLOSE</t>
  </si>
  <si>
    <t xml:space="preserve">MS report (month)</t>
  </si>
  <si>
    <t xml:space="preserve">Category</t>
  </si>
  <si>
    <t xml:space="preserve">What the customer said</t>
  </si>
  <si>
    <t xml:space="preserve">Customer's original words</t>
  </si>
  <si>
    <t xml:space="preserve">Suggested action (from report / draft)</t>
  </si>
  <si>
    <t xml:space="preserve">Date agreed</t>
  </si>
  <si>
    <t xml:space="preserve">Timeline</t>
  </si>
  <si>
    <t xml:space="preserve">Target date (auto)</t>
  </si>
  <si>
    <t xml:space="preserve">Status</t>
  </si>
  <si>
    <t xml:space="preserve">Days left (auto)</t>
  </si>
  <si>
    <t xml:space="preserve">Alert (auto)</t>
  </si>
  <si>
    <t xml:space="preserve">Progress update / action taken</t>
  </si>
  <si>
    <t xml:space="preserve">Date completed</t>
  </si>
  <si>
    <t xml:space="preserve">Verified by</t>
  </si>
  <si>
    <t xml:space="preserve">Verified date</t>
  </si>
  <si>
    <t xml:space="preserve">Remarks</t>
  </si>
  <si>
    <t xml:space="preserve">MS-2609-CLM-01</t>
  </si>
  <si>
    <t xml:space="preserve">Cheras Leisure Mall</t>
  </si>
  <si>
    <t xml:space="preserve">Package presentation felt too commercial</t>
  </si>
  <si>
    <t xml:space="preserve">Sep 2026</t>
  </si>
  <si>
    <t xml:space="preserve">Sales &amp; package</t>
  </si>
  <si>
    <t xml:space="preserve">Customer was first shown a full treatment journey above RM20,000, then a package recommendation. She felt pressured and the number itself was intimidating. This is the main reason her revisit answer was only "Maybe".</t>
  </si>
  <si>
    <r>
      <rPr>
        <sz val="10"/>
        <color rgb="FF1F1F1F"/>
        <rFont val="Noto Sans CJK SC"/>
        <family val="2"/>
      </rPr>
      <t xml:space="preserve">“先给我看整个疗程</t>
    </r>
    <r>
      <rPr>
        <sz val="10"/>
        <color rgb="FF1F1F1F"/>
        <rFont val="Arial"/>
        <family val="0"/>
        <charset val="1"/>
      </rPr>
      <t xml:space="preserve">2</t>
    </r>
    <r>
      <rPr>
        <sz val="10"/>
        <color rgb="FF1F1F1F"/>
        <rFont val="Noto Sans CJK SC"/>
        <family val="2"/>
      </rPr>
      <t xml:space="preserve">万多，然后推荐配套。过程有点压力，也被数值吓到。如果有菜单直接看更好。”</t>
    </r>
  </si>
  <si>
    <t xml:space="preserve">Show a simple treatment menu early, before any package talk, to reduce sticker shock and make options easier to understand.</t>
  </si>
  <si>
    <t xml:space="preserve">Next MS report: customer does not mention sales pressure; revisit answer improves.</t>
  </si>
  <si>
    <t xml:space="preserve">Same theme as MS-2609-GL-01 (consultant sales approach).</t>
  </si>
  <si>
    <t xml:space="preserve">MS-2609-CLM-02</t>
  </si>
  <si>
    <t xml:space="preserve">Customer had to keep confirming the RM399 trial</t>
  </si>
  <si>
    <t xml:space="preserve">Customer needed to confirm several times that she was doing the RM399 trial. Clear reassurance at the start would help her feel secure.</t>
  </si>
  <si>
    <r>
      <rPr>
        <sz val="10"/>
        <color rgb="FF1F1F1F"/>
        <rFont val="Noto Sans CJK SC"/>
        <family val="2"/>
      </rPr>
      <t xml:space="preserve">“我需要反复确认是不是给我</t>
    </r>
    <r>
      <rPr>
        <sz val="10"/>
        <color rgb="FF1F1F1F"/>
        <rFont val="Arial"/>
        <family val="0"/>
        <charset val="1"/>
      </rPr>
      <t xml:space="preserve">399trial</t>
    </r>
    <r>
      <rPr>
        <sz val="10"/>
        <color rgb="FF1F1F1F"/>
        <rFont val="Noto Sans CJK SC"/>
        <family val="2"/>
      </rPr>
      <t xml:space="preserve">配套，他们可能可以说我今天是做这个价钱，让我安心。”</t>
    </r>
  </si>
  <si>
    <t xml:space="preserve">Confirm today's RM399 trial clearly at the start, before any upgrade conversation.</t>
  </si>
  <si>
    <t xml:space="preserve">Next MS report for Cheras Leisure Mall: this point is not mentioned again.</t>
  </si>
  <si>
    <t xml:space="preserve">MS-2609-CLM-03</t>
  </si>
  <si>
    <t xml:space="preserve">Treatment steps were not clear</t>
  </si>
  <si>
    <t xml:space="preserve">Communication</t>
  </si>
  <si>
    <t xml:space="preserve">She heard a lot about acne-scar packages but was not clear on the steps for that visit. After the laser she thought it was finished, then learned there was a hydration treatment too.</t>
  </si>
  <si>
    <r>
      <rPr>
        <sz val="10"/>
        <color rgb="FF1F1F1F"/>
        <rFont val="Noto Sans CJK SC"/>
        <family val="2"/>
      </rPr>
      <t xml:space="preserve">“在开始疗程的时候我不清楚我的疗程的步骤……做完</t>
    </r>
    <r>
      <rPr>
        <sz val="10"/>
        <color rgb="FF1F1F1F"/>
        <rFont val="Arial"/>
        <family val="0"/>
        <charset val="1"/>
      </rPr>
      <t xml:space="preserve">laser</t>
    </r>
    <r>
      <rPr>
        <sz val="10"/>
        <color rgb="FF1F1F1F"/>
        <rFont val="Noto Sans CJK SC"/>
        <family val="2"/>
      </rPr>
      <t xml:space="preserve">我以为完了，医生告诉我还有补水护理。”</t>
    </r>
  </si>
  <si>
    <t xml:space="preserve">Brief the full treatment flow from start to finish before treatment starts.</t>
  </si>
  <si>
    <t xml:space="preserve">MS-2609-CLM-04</t>
  </si>
  <si>
    <t xml:space="preserve">Long waiting time (about 1pm to 4pm)</t>
  </si>
  <si>
    <t xml:space="preserve">Waiting &amp; process flow</t>
  </si>
  <si>
    <t xml:space="preserve">Customer stayed about 3 hours. Waiting at face washing / photos, doctor, payment (bill printing) and account setup.</t>
  </si>
  <si>
    <r>
      <rPr>
        <sz val="10"/>
        <color rgb="FF1F1F1F"/>
        <rFont val="Noto Sans CJK SC"/>
        <family val="2"/>
      </rPr>
      <t xml:space="preserve">“整体时长我在那边呆了</t>
    </r>
    <r>
      <rPr>
        <sz val="10"/>
        <color rgb="FF1F1F1F"/>
        <rFont val="Arial"/>
        <family val="0"/>
        <charset val="1"/>
      </rPr>
      <t xml:space="preserve">1pm</t>
    </r>
    <r>
      <rPr>
        <sz val="10"/>
        <color rgb="FF1F1F1F"/>
        <rFont val="Noto Sans CJK SC"/>
        <family val="2"/>
      </rPr>
      <t xml:space="preserve">到差不多</t>
    </r>
    <r>
      <rPr>
        <sz val="10"/>
        <color rgb="FF1F1F1F"/>
        <rFont val="Arial"/>
        <family val="0"/>
        <charset val="1"/>
      </rPr>
      <t xml:space="preserve">4pm</t>
    </r>
    <r>
      <rPr>
        <sz val="10"/>
        <color rgb="FF1F1F1F"/>
        <rFont val="Noto Sans CJK SC"/>
        <family val="2"/>
      </rPr>
      <t xml:space="preserve">，感觉时间比较久……尤其是付款等打单等了蛮久。”</t>
    </r>
  </si>
  <si>
    <t xml:space="preserve">Tighten handoffs between washing, photos, doctor, payment and registration.</t>
  </si>
  <si>
    <t xml:space="preserve">Next MS report: total visit time is shorter and waiting is not mentioned.</t>
  </si>
  <si>
    <t xml:space="preserve">MS-2609-CLM-05</t>
  </si>
  <si>
    <t xml:space="preserve">Registration code sent without explanation</t>
  </si>
  <si>
    <t xml:space="preserve">Registration &amp; system</t>
  </si>
  <si>
    <t xml:space="preserve">A code was sent for account registration without first explaining why. The customer found it strange until the purpose was clarified.</t>
  </si>
  <si>
    <r>
      <rPr>
        <sz val="10"/>
        <color rgb="FF1F1F1F"/>
        <rFont val="Noto Sans CJK SC"/>
        <family val="2"/>
      </rPr>
      <t xml:space="preserve">“有人来说要拿</t>
    </r>
    <r>
      <rPr>
        <sz val="10"/>
        <color rgb="FF1F1F1F"/>
        <rFont val="Arial"/>
        <family val="0"/>
        <charset val="1"/>
      </rPr>
      <t xml:space="preserve">code</t>
    </r>
    <r>
      <rPr>
        <sz val="10"/>
        <color rgb="FF1F1F1F"/>
        <rFont val="Noto Sans CJK SC"/>
        <family val="2"/>
      </rPr>
      <t xml:space="preserve">注册账号，一开始没和我解释是为了这个目的……我感到奇怪。”</t>
    </r>
  </si>
  <si>
    <t xml:space="preserve">Explain why the customer is receiving the code before sending it.</t>
  </si>
  <si>
    <t xml:space="preserve">MS-2609-CLM-06</t>
  </si>
  <si>
    <t xml:space="preserve">Therapist hand technique felt firm</t>
  </si>
  <si>
    <t xml:space="preserve">Treatment &amp; technique</t>
  </si>
  <si>
    <t xml:space="preserve">Therapist explained the steps and cared for the customer (offered to switch off the light), but the hand technique felt slightly firm.</t>
  </si>
  <si>
    <t xml:space="preserve">“护理小姐姐的手法可以再进步，手法不够柔。”</t>
  </si>
  <si>
    <t xml:space="preserve">Use a gentler, more relaxing hand technique (refresher training).</t>
  </si>
  <si>
    <t xml:space="preserve">MS-2609-CLM-07</t>
  </si>
  <si>
    <t xml:space="preserve">Prefers WhatsApp reminder instead of a call</t>
  </si>
  <si>
    <t xml:space="preserve">Appointment &amp; reminder</t>
  </si>
  <si>
    <t xml:space="preserve">Outlet proactively sent the address and called the day before (good). But the customer was at work and would prefer a WhatsApp reminder.</t>
  </si>
  <si>
    <r>
      <rPr>
        <sz val="10"/>
        <color rgb="FF1F1F1F"/>
        <rFont val="Noto Sans CJK SC"/>
        <family val="2"/>
      </rPr>
      <t xml:space="preserve">“前一天会</t>
    </r>
    <r>
      <rPr>
        <sz val="10"/>
        <color rgb="FF1F1F1F"/>
        <rFont val="Arial"/>
        <family val="0"/>
        <charset val="1"/>
      </rPr>
      <t xml:space="preserve">call</t>
    </r>
    <r>
      <rPr>
        <sz val="10"/>
        <color rgb="FF1F1F1F"/>
        <rFont val="Noto Sans CJK SC"/>
        <family val="2"/>
      </rPr>
      <t xml:space="preserve">。不过我在工作，希望</t>
    </r>
    <r>
      <rPr>
        <sz val="10"/>
        <color rgb="FF1F1F1F"/>
        <rFont val="Arial"/>
        <family val="0"/>
        <charset val="1"/>
      </rPr>
      <t xml:space="preserve">whatsapp reminder</t>
    </r>
    <r>
      <rPr>
        <sz val="10"/>
        <color rgb="FF1F1F1F"/>
        <rFont val="Noto Sans CJK SC"/>
        <family val="2"/>
      </rPr>
      <t xml:space="preserve">就好。”</t>
    </r>
  </si>
  <si>
    <t xml:space="preserve">Draft: ask customers their preferred reminder method (WhatsApp or call) and follow it.</t>
  </si>
  <si>
    <t xml:space="preserve">MS-2609-GL-01</t>
  </si>
  <si>
    <t xml:space="preserve">Greenlane</t>
  </si>
  <si>
    <t xml:space="preserve">Service attitude dropped when customer could not afford the high-price package</t>
  </si>
  <si>
    <t xml:space="preserve">Service attitude</t>
  </si>
  <si>
    <t xml:space="preserve">Customer felt clear snobbery and discrimination because she had no credit card and a limited budget. After staff learned she could not buy the high-price package (RM30k), their service attitude dropped and she was disappointed. She asked why there were no other options based on the customer's needs, instead of only pushing high-price packages. In her follow-up message she said it was not only the selling: mainly the attitude made her uncomfortable. She added that young staff lacking experience is understandable, as long as they are willing to improve.</t>
  </si>
  <si>
    <r>
      <rPr>
        <sz val="10"/>
        <color rgb="FF1F1F1F"/>
        <rFont val="Noto Sans CJK SC"/>
        <family val="2"/>
      </rPr>
      <t xml:space="preserve">“感受到有明显的势利感和歧视倾向（因为我没有信用卡而且预算有限），服务员在得知无法消费高额配套</t>
    </r>
    <r>
      <rPr>
        <sz val="10"/>
        <color rgb="FF1F1F1F"/>
        <rFont val="Arial"/>
        <family val="0"/>
        <charset val="1"/>
      </rPr>
      <t xml:space="preserve">(RM 30k)</t>
    </r>
    <r>
      <rPr>
        <sz val="10"/>
        <color rgb="FF1F1F1F"/>
        <rFont val="Noto Sans CJK SC"/>
        <family val="2"/>
      </rPr>
      <t xml:space="preserve">，而产生服务态度的落差，有点失望。怎么就没有其他选择‘满足客户需求’为导向，而非一味推销高价配套呢！”
</t>
    </r>
    <r>
      <rPr>
        <sz val="10"/>
        <color rgb="FF1F1F1F"/>
        <rFont val="Arial"/>
        <family val="0"/>
        <charset val="1"/>
      </rPr>
      <t xml:space="preserve">Follow-up: “</t>
    </r>
    <r>
      <rPr>
        <sz val="10"/>
        <color rgb="FF1F1F1F"/>
        <rFont val="Noto Sans CJK SC"/>
        <family val="2"/>
      </rPr>
      <t xml:space="preserve">其实当天不完全是因为推销的问题，主要是态度，让人感觉不太舒服。”</t>
    </r>
  </si>
  <si>
    <t xml:space="preserve">Draft: coach the consultation team to keep the same warm service whatever the customer's budget, and to offer options that fit the customer's needs and budget instead of only high-price packages.</t>
  </si>
  <si>
    <t xml:space="preserve">Next MS report for Greenlane: no comments on attitude or sales pressure; customer is offered options within budget.</t>
  </si>
  <si>
    <t xml:space="preserve">Same theme as MS-2609-CLM-01 and -02 (consultant sales approach). Feedback received 15/09/2026.</t>
  </si>
  <si>
    <t xml:space="preserve">Dashboard: Mystery Shopper improvement points</t>
  </si>
  <si>
    <t xml:space="preserve">Updates automatically from the Tracker sheet. Nothing to type here.</t>
  </si>
  <si>
    <t xml:space="preserve">Today:</t>
  </si>
  <si>
    <t xml:space="preserve">Total points</t>
  </si>
  <si>
    <t xml:space="preserve">To verify</t>
  </si>
  <si>
    <t xml:space="preserve">Due in 7 days</t>
  </si>
  <si>
    <t xml:space="preserve">% closed</t>
  </si>
  <si>
    <t xml:space="preserve">By outlet</t>
  </si>
  <si>
    <t xml:space="preserve">Total</t>
  </si>
  <si>
    <t xml:space="preserve">By priority</t>
  </si>
  <si>
    <t xml:space="preserve">By category</t>
  </si>
  <si>
    <t xml:space="preserve">Mystery Shopper reports received</t>
  </si>
  <si>
    <t xml:space="preserve">Log every report here when it arrives, then copy its improvement points into the Tracker. Grey columns are automatic.</t>
  </si>
  <si>
    <t xml:space="preserve">Report ID</t>
  </si>
  <si>
    <t xml:space="preserve">Visit date</t>
  </si>
  <si>
    <t xml:space="preserve">Score (as reported)</t>
  </si>
  <si>
    <t xml:space="preserve">Would return / recommend?</t>
  </si>
  <si>
    <t xml:space="preserve">Points logged (auto)</t>
  </si>
  <si>
    <t xml:space="preserve">Points closed (auto)</t>
  </si>
  <si>
    <t xml:space="preserve">Staff named in report</t>
  </si>
  <si>
    <t xml:space="preserve">Report file</t>
  </si>
  <si>
    <t xml:space="preserve">Reviewed at meeting</t>
  </si>
  <si>
    <t xml:space="preserve">Notes</t>
  </si>
  <si>
    <t xml:space="preserve">MS-2609-CLM</t>
  </si>
  <si>
    <t xml:space="preserve">93</t>
  </si>
  <si>
    <t xml:space="preserve">Maybe / Yes. Price is expensive, but may return for pigmentation treatment.</t>
  </si>
  <si>
    <t xml:space="preserve">Dr. Agnes Lu, Alice, Ng Kai Wei, Irene</t>
  </si>
  <si>
    <t xml:space="preserve">MS result sheet (Sep, Cheras Leisure Mall row) + UR_Klinik_Mystery_Shopper_Cheras_Leisure_Mall_September_Feedback_Appendix.pptx</t>
  </si>
  <si>
    <t xml:space="preserve">Main theme: package presentation felt too commercial; long waiting; treatment steps not clear.</t>
  </si>
  <si>
    <t xml:space="preserve">MS-2609-GL</t>
  </si>
  <si>
    <t xml:space="preserve">60</t>
  </si>
  <si>
    <t xml:space="preserve">Maybe / Maybe / Still considering…</t>
  </si>
  <si>
    <t xml:space="preserve">Dr Michelle, Stella, Karene, Graceyy</t>
  </si>
  <si>
    <t xml:space="preserve">MS result sheet (Sep, Greenlane row) + customer's WhatsApp follow-up, 15/09/2026</t>
  </si>
  <si>
    <t xml:space="preserve">Customer's follow-up: the main issue was staff attitude, not only the selling. Staff mentioned in the QA chat: Dr Michelle and Stella.</t>
  </si>
  <si>
    <t xml:space="preserve">Review meeting log</t>
  </si>
  <si>
    <t xml:space="preserve">One row per review meeting: this is your record for the next audit.</t>
  </si>
  <si>
    <t xml:space="preserve">Meeting date</t>
  </si>
  <si>
    <t xml:space="preserve">Attendees</t>
  </si>
  <si>
    <t xml:space="preserve">Tracker IDs reviewed</t>
  </si>
  <si>
    <t xml:space="preserve">Decisions / key notes</t>
  </si>
  <si>
    <t xml:space="preserve">Next review date</t>
  </si>
  <si>
    <t xml:space="preserve">MS-2609-CLM-01 to 07, MS-2609-GL-01</t>
  </si>
  <si>
    <t xml:space="preserve">Dropdown lists: add new outlets, categories or PIC names in the empty cells below each list.</t>
  </si>
  <si>
    <t xml:space="preserve">Outlets</t>
  </si>
  <si>
    <t xml:space="preserve">Outlet code (for ID)</t>
  </si>
  <si>
    <t xml:space="preserve">Categories</t>
  </si>
  <si>
    <t xml:space="preserve">PIC (person in charge)</t>
  </si>
  <si>
    <t xml:space="preserve">Days</t>
  </si>
  <si>
    <t xml:space="preserve">GL</t>
  </si>
  <si>
    <t xml:space="preserve">Outlet Manager</t>
  </si>
  <si>
    <t xml:space="preserve">1 week</t>
  </si>
  <si>
    <t xml:space="preserve">PC</t>
  </si>
  <si>
    <t xml:space="preserve">Front Desk / CS</t>
  </si>
  <si>
    <t xml:space="preserve">2 weeks</t>
  </si>
  <si>
    <t xml:space="preserve">CLM</t>
  </si>
  <si>
    <t xml:space="preserve">Doctor</t>
  </si>
  <si>
    <t xml:space="preserve">1 month</t>
  </si>
  <si>
    <t xml:space="preserve">2 months</t>
  </si>
  <si>
    <t xml:space="preserve">Sales / Consultant</t>
  </si>
  <si>
    <t xml:space="preserve">3 months</t>
  </si>
  <si>
    <t xml:space="preserve">QA</t>
  </si>
  <si>
    <t xml:space="preserve">Environment &amp; facilities</t>
  </si>
  <si>
    <t xml:space="preserve">Others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</si>
</sst>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General"/>
    <numFmt numFmtId="168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B2A5A"/>
      <name val="Arial"/>
      <family val="0"/>
      <charset val="1"/>
    </font>
    <font>
      <i val="true"/>
      <sz val="10"/>
      <color rgb="FF5A5470"/>
      <name val="Arial"/>
      <family val="0"/>
      <charset val="1"/>
    </font>
    <font>
      <b val="true"/>
      <sz val="12"/>
      <color rgb="FF3B2A5A"/>
      <name val="Arial"/>
      <family val="0"/>
      <charset val="1"/>
    </font>
    <font>
      <b val="true"/>
      <sz val="10"/>
      <color rgb="FF3B2A5A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8E1B1B"/>
      <name val="Arial"/>
      <family val="0"/>
      <charset val="1"/>
    </font>
    <font>
      <b val="true"/>
      <sz val="10"/>
      <color rgb="FF7A5200"/>
      <name val="Arial"/>
      <family val="0"/>
      <charset val="1"/>
    </font>
    <font>
      <b val="true"/>
      <sz val="10"/>
      <color rgb="FF1E5B2B"/>
      <name val="Arial"/>
      <family val="0"/>
      <charset val="1"/>
    </font>
    <font>
      <b val="true"/>
      <sz val="10"/>
      <color rgb="FF4A2F80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A3B00"/>
      <name val="Arial"/>
      <family val="0"/>
      <charset val="1"/>
    </font>
    <font>
      <b val="true"/>
      <sz val="10"/>
      <color rgb="FF6B5300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10"/>
      <color rgb="FF5A5470"/>
      <name val="Arial"/>
      <family val="0"/>
      <charset val="1"/>
    </font>
    <font>
      <b val="true"/>
      <sz val="16"/>
      <color rgb="FF3B2A5A"/>
      <name val="Arial"/>
      <family val="0"/>
      <charset val="1"/>
    </font>
    <font>
      <sz val="10"/>
      <color rgb="FF1F1F1F"/>
      <name val="Noto Sans CJK SC"/>
      <family val="2"/>
    </font>
    <font>
      <sz val="10"/>
      <name val="Arial"/>
      <family val="2"/>
    </font>
    <font>
      <b val="true"/>
      <sz val="20"/>
      <color rgb="FF3B2A5A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20"/>
      <color rgb="FFB7791F"/>
      <name val="Arial"/>
      <family val="0"/>
      <charset val="1"/>
    </font>
    <font>
      <b val="true"/>
      <sz val="20"/>
      <color rgb="FF6A4C9C"/>
      <name val="Arial"/>
      <family val="0"/>
      <charset val="1"/>
    </font>
    <font>
      <b val="true"/>
      <sz val="20"/>
      <color rgb="FF2E7D32"/>
      <name val="Arial"/>
      <family val="0"/>
      <charset val="1"/>
    </font>
    <font>
      <b val="true"/>
      <sz val="20"/>
      <color rgb="FFC62828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FDE2E1"/>
        <bgColor rgb="FFEDE7F6"/>
      </patternFill>
    </fill>
    <fill>
      <patternFill patternType="solid">
        <fgColor rgb="FFFFF1CC"/>
        <bgColor rgb="FFFFF2CC"/>
      </patternFill>
    </fill>
    <fill>
      <patternFill patternType="solid">
        <fgColor rgb="FFE3F1E6"/>
        <bgColor rgb="FFE2EFDA"/>
      </patternFill>
    </fill>
    <fill>
      <patternFill patternType="solid">
        <fgColor rgb="FFE4DAF5"/>
        <bgColor rgb="FFE0E0E0"/>
      </patternFill>
    </fill>
    <fill>
      <patternFill patternType="solid">
        <fgColor rgb="FFD5EFD9"/>
        <bgColor rgb="FFE2EFDA"/>
      </patternFill>
    </fill>
    <fill>
      <patternFill patternType="solid">
        <fgColor rgb="FFE0E0E0"/>
        <bgColor rgb="FFDCE6F1"/>
      </patternFill>
    </fill>
    <fill>
      <patternFill patternType="solid">
        <fgColor rgb="FFC62828"/>
        <bgColor rgb="FFC0392B"/>
      </patternFill>
    </fill>
    <fill>
      <patternFill patternType="solid">
        <fgColor rgb="FFFFD27A"/>
        <bgColor rgb="FFFFF4C2"/>
      </patternFill>
    </fill>
    <fill>
      <patternFill patternType="solid">
        <fgColor rgb="FFFFF4C2"/>
        <bgColor rgb="FFFFF2CC"/>
      </patternFill>
    </fill>
    <fill>
      <patternFill patternType="solid">
        <fgColor rgb="FFFFFFFF"/>
        <bgColor rgb="FFF7F5FB"/>
      </patternFill>
    </fill>
    <fill>
      <patternFill patternType="solid">
        <fgColor rgb="FFEFEDF3"/>
        <bgColor rgb="FFEDE7F6"/>
      </patternFill>
    </fill>
    <fill>
      <patternFill patternType="solid">
        <fgColor rgb="FFF7F5FB"/>
        <bgColor rgb="FFEFEDF3"/>
      </patternFill>
    </fill>
    <fill>
      <patternFill patternType="solid">
        <fgColor rgb="FF2F5D8A"/>
        <bgColor rgb="FF5A5470"/>
      </patternFill>
    </fill>
    <fill>
      <patternFill patternType="solid">
        <fgColor rgb="FFB7791F"/>
        <bgColor rgb="FFFF6600"/>
      </patternFill>
    </fill>
    <fill>
      <patternFill patternType="solid">
        <fgColor rgb="FF3D7A4A"/>
        <bgColor rgb="FF2E7D32"/>
      </patternFill>
    </fill>
    <fill>
      <patternFill patternType="solid">
        <fgColor rgb="FF6A4C9C"/>
        <bgColor rgb="FF5A5470"/>
      </patternFill>
    </fill>
    <fill>
      <patternFill patternType="solid">
        <fgColor rgb="FFDCE6F1"/>
        <bgColor rgb="FFE0E0E0"/>
      </patternFill>
    </fill>
    <fill>
      <patternFill patternType="solid">
        <fgColor rgb="FFFFF2CC"/>
        <bgColor rgb="FFFFF1CC"/>
      </patternFill>
    </fill>
    <fill>
      <patternFill patternType="solid">
        <fgColor rgb="FFE2EFDA"/>
        <bgColor rgb="FFE3F1E6"/>
      </patternFill>
    </fill>
    <fill>
      <patternFill patternType="solid">
        <fgColor rgb="FFEDE7F6"/>
        <bgColor rgb="FFEFEDF3"/>
      </patternFill>
    </fill>
    <fill>
      <patternFill patternType="solid">
        <fgColor rgb="FF3B2A5A"/>
        <bgColor rgb="FF4A2F80"/>
      </patternFill>
    </fill>
    <fill>
      <patternFill patternType="solid">
        <fgColor rgb="FFC0392B"/>
        <bgColor rgb="FFC62828"/>
      </patternFill>
    </fill>
    <fill>
      <patternFill patternType="solid">
        <fgColor rgb="FF2E7D32"/>
        <bgColor rgb="FF3D7A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D8"/>
      </left>
      <right style="thin">
        <color rgb="FFD0CCD8"/>
      </right>
      <top style="thin">
        <color rgb="FFD0CCD8"/>
      </top>
      <bottom style="thin">
        <color rgb="FFD0CC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3B2A5A"/>
          <bgColor rgb="FF000000"/>
        </patternFill>
      </fill>
    </dxf>
    <dxf>
      <fill>
        <patternFill patternType="solid">
          <fgColor rgb="FFE3F1E6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E5B2B"/>
          <bgColor rgb="FF000000"/>
        </patternFill>
      </fill>
    </dxf>
    <dxf>
      <fill>
        <patternFill patternType="solid">
          <fgColor rgb="FF7A5200"/>
          <bgColor rgb="FF000000"/>
        </patternFill>
      </fill>
    </dxf>
    <dxf>
      <fill>
        <patternFill patternType="solid">
          <fgColor rgb="FF8E1B1B"/>
          <bgColor rgb="FF000000"/>
        </patternFill>
      </fill>
    </dxf>
    <dxf>
      <fill>
        <patternFill patternType="solid">
          <fgColor rgb="FFEFED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6B5300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62828"/>
        </patternFill>
      </fill>
    </dxf>
    <dxf>
      <font>
        <name val="Arial"/>
        <charset val="1"/>
        <family val="0"/>
        <b val="1"/>
        <color rgb="FF5A3B00"/>
      </font>
      <fill>
        <patternFill>
          <bgColor rgb="FFFFD27A"/>
        </patternFill>
      </fill>
    </dxf>
    <dxf>
      <font>
        <name val="Arial"/>
        <charset val="1"/>
        <family val="0"/>
        <b val="1"/>
        <color rgb="FF1E5B2B"/>
      </font>
      <fill>
        <patternFill>
          <bgColor rgb="FFD5EFD9"/>
        </patternFill>
      </fill>
    </dxf>
    <dxf>
      <font>
        <name val="Arial"/>
        <charset val="1"/>
        <family val="0"/>
        <b val="1"/>
        <color rgb="FF4A2F80"/>
      </font>
      <fill>
        <patternFill>
          <bgColor rgb="FFE4DAF5"/>
        </patternFill>
      </fill>
    </dxf>
    <dxf>
      <font>
        <name val="Arial"/>
        <charset val="1"/>
        <family val="0"/>
        <color rgb="FF6B5300"/>
      </font>
      <fill>
        <patternFill>
          <bgColor rgb="FFFFF4C2"/>
        </patternFill>
      </fill>
    </dxf>
    <dxf>
      <font>
        <name val="Arial"/>
        <charset val="1"/>
        <family val="0"/>
        <color rgb="FF555555"/>
      </font>
      <fill>
        <patternFill>
          <bgColor rgb="FFE0E0E0"/>
        </patternFill>
      </fill>
    </dxf>
    <dxf>
      <font>
        <name val="Arial"/>
        <charset val="1"/>
        <family val="0"/>
        <b val="1"/>
        <color rgb="FF8E1B1B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7A5200"/>
      </font>
      <fill>
        <patternFill>
          <bgColor rgb="FFFFF1CC"/>
        </patternFill>
      </fill>
    </dxf>
    <dxf>
      <font>
        <name val="Arial"/>
        <charset val="1"/>
        <family val="0"/>
        <b val="1"/>
        <color rgb="FF1E5B2B"/>
      </font>
      <fill>
        <patternFill>
          <bgColor rgb="FFE3F1E6"/>
        </patternFill>
      </fill>
    </dxf>
    <dxf>
      <font>
        <name val="Arial"/>
        <charset val="1"/>
        <family val="0"/>
        <color rgb="FF9A9A9A"/>
      </font>
    </dxf>
  </dxfs>
  <colors>
    <indexedColors>
      <rgbColor rgb="FF000000"/>
      <rgbColor rgb="FFFFFFFF"/>
      <rgbColor rgb="FFFF0000"/>
      <rgbColor rgb="FF00FF00"/>
      <rgbColor rgb="FF0000FF"/>
      <rgbColor rgb="FFFFF1CC"/>
      <rgbColor rgb="FFFF00FF"/>
      <rgbColor rgb="FF00FFFF"/>
      <rgbColor rgb="FF5A3B00"/>
      <rgbColor rgb="FF2E7D32"/>
      <rgbColor rgb="FF000080"/>
      <rgbColor rgb="FFB7791F"/>
      <rgbColor rgb="FF800080"/>
      <rgbColor rgb="FF008080"/>
      <rgbColor rgb="FFE0E0E0"/>
      <rgbColor rgb="FF5A5470"/>
      <rgbColor rgb="FFEDE7F6"/>
      <rgbColor rgb="FFC0392B"/>
      <rgbColor rgb="FFFFF4C2"/>
      <rgbColor rgb="FFE3F1E6"/>
      <rgbColor rgb="FF6B5300"/>
      <rgbColor rgb="FFFF8080"/>
      <rgbColor rgb="FF2F5D8A"/>
      <rgbColor rgb="FFD0CCD8"/>
      <rgbColor rgb="FF000080"/>
      <rgbColor rgb="FFFF00FF"/>
      <rgbColor rgb="FFEFEDF3"/>
      <rgbColor rgb="FF00FFFF"/>
      <rgbColor rgb="FF800080"/>
      <rgbColor rgb="FF7A5200"/>
      <rgbColor rgb="FF008080"/>
      <rgbColor rgb="FF0000FF"/>
      <rgbColor rgb="FF00CCFF"/>
      <rgbColor rgb="FFE2EFDA"/>
      <rgbColor rgb="FFD5EFD9"/>
      <rgbColor rgb="FFFFF2CC"/>
      <rgbColor rgb="FFDCE6F1"/>
      <rgbColor rgb="FFFDE2E1"/>
      <rgbColor rgb="FFE4DAF5"/>
      <rgbColor rgb="FFFFD27A"/>
      <rgbColor rgb="FF3366FF"/>
      <rgbColor rgb="FF33CCCC"/>
      <rgbColor rgb="FF99CC00"/>
      <rgbColor rgb="FFF7F5FB"/>
      <rgbColor rgb="FFFF9900"/>
      <rgbColor rgb="FFFF6600"/>
      <rgbColor rgb="FF6A4C9C"/>
      <rgbColor rgb="FF9A9A9A"/>
      <rgbColor rgb="FF555555"/>
      <rgbColor rgb="FF3D7A4A"/>
      <rgbColor rgb="FF1E5B2B"/>
      <rgbColor rgb="FF1F1F1F"/>
      <rgbColor rgb="FF8E1B1B"/>
      <rgbColor rgb="FFC62828"/>
      <rgbColor rgb="FF4A2F80"/>
      <rgbColor rgb="FF3B2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2"/>
  </cols>
  <sheetData>
    <row r="1" customFormat="false" ht="30" hidden="false" customHeight="true" outlineLevel="0" collapsed="false">
      <c r="B1" s="1" t="s">
        <v>0</v>
      </c>
      <c r="C1" s="1"/>
    </row>
    <row r="2" customFormat="false" ht="30" hidden="false" customHeight="true" outlineLevel="0" collapsed="false">
      <c r="B2" s="2" t="s">
        <v>1</v>
      </c>
      <c r="C2" s="2"/>
    </row>
    <row r="4" customFormat="false" ht="15" hidden="false" customHeight="true" outlineLevel="0" collapsed="false">
      <c r="B4" s="3" t="s">
        <v>2</v>
      </c>
      <c r="C4" s="3"/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2" customFormat="false" ht="1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6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9" t="s">
        <v>20</v>
      </c>
      <c r="C15" s="7" t="s">
        <v>21</v>
      </c>
    </row>
    <row r="17" customFormat="false" ht="15" hidden="false" customHeight="true" outlineLevel="0" collapsed="false">
      <c r="B17" s="3" t="s">
        <v>22</v>
      </c>
      <c r="C17" s="3"/>
    </row>
    <row r="18" customFormat="false" ht="19.5" hidden="false" customHeight="true" outlineLevel="0" collapsed="false">
      <c r="B18" s="6" t="s">
        <v>23</v>
      </c>
      <c r="C18" s="7" t="s">
        <v>24</v>
      </c>
    </row>
    <row r="19" customFormat="false" ht="19.5" hidden="false" customHeight="true" outlineLevel="0" collapsed="false">
      <c r="B19" s="8" t="s">
        <v>25</v>
      </c>
      <c r="C19" s="7" t="s">
        <v>26</v>
      </c>
    </row>
    <row r="20" customFormat="false" ht="19.5" hidden="false" customHeight="true" outlineLevel="0" collapsed="false">
      <c r="B20" s="10" t="s">
        <v>27</v>
      </c>
      <c r="C20" s="7" t="s">
        <v>28</v>
      </c>
    </row>
    <row r="21" customFormat="false" ht="19.5" hidden="false" customHeight="true" outlineLevel="0" collapsed="false">
      <c r="B21" s="11" t="s">
        <v>29</v>
      </c>
      <c r="C21" s="7" t="s">
        <v>30</v>
      </c>
    </row>
    <row r="22" customFormat="false" ht="19.5" hidden="false" customHeight="true" outlineLevel="0" collapsed="false">
      <c r="B22" s="12" t="s">
        <v>31</v>
      </c>
      <c r="C22" s="7" t="s">
        <v>32</v>
      </c>
    </row>
    <row r="24" customFormat="false" ht="15" hidden="false" customHeight="true" outlineLevel="0" collapsed="false">
      <c r="B24" s="3" t="s">
        <v>33</v>
      </c>
      <c r="C24" s="3"/>
    </row>
    <row r="25" customFormat="false" ht="19.5" hidden="false" customHeight="true" outlineLevel="0" collapsed="false">
      <c r="B25" s="13" t="s">
        <v>34</v>
      </c>
      <c r="C25" s="7" t="s">
        <v>35</v>
      </c>
    </row>
    <row r="26" customFormat="false" ht="19.5" hidden="false" customHeight="true" outlineLevel="0" collapsed="false">
      <c r="B26" s="14" t="s">
        <v>36</v>
      </c>
      <c r="C26" s="7" t="s">
        <v>37</v>
      </c>
    </row>
    <row r="27" customFormat="false" ht="19.5" hidden="false" customHeight="true" outlineLevel="0" collapsed="false">
      <c r="B27" s="11" t="s">
        <v>38</v>
      </c>
      <c r="C27" s="7" t="s">
        <v>39</v>
      </c>
    </row>
    <row r="28" customFormat="false" ht="19.5" hidden="false" customHeight="true" outlineLevel="0" collapsed="false">
      <c r="B28" s="15" t="s">
        <v>40</v>
      </c>
      <c r="C28" s="7" t="s">
        <v>41</v>
      </c>
    </row>
    <row r="30" customFormat="false" ht="15" hidden="false" customHeight="true" outlineLevel="0" collapsed="false">
      <c r="B30" s="3" t="s">
        <v>42</v>
      </c>
      <c r="C30" s="3"/>
    </row>
    <row r="31" customFormat="false" ht="19.5" hidden="false" customHeight="true" outlineLevel="0" collapsed="false">
      <c r="B31" s="16" t="s">
        <v>43</v>
      </c>
      <c r="C31" s="7" t="s">
        <v>44</v>
      </c>
    </row>
    <row r="32" customFormat="false" ht="19.5" hidden="false" customHeight="true" outlineLevel="0" collapsed="false">
      <c r="B32" s="17" t="s">
        <v>45</v>
      </c>
      <c r="C32" s="7" t="s">
        <v>46</v>
      </c>
    </row>
    <row r="34" customFormat="false" ht="15" hidden="false" customHeight="true" outlineLevel="0" collapsed="false">
      <c r="B34" s="3" t="s">
        <v>47</v>
      </c>
      <c r="C34" s="3"/>
    </row>
    <row r="35" customFormat="false" ht="23.85" hidden="false" customHeight="false" outlineLevel="0" collapsed="false">
      <c r="C35" s="5" t="s">
        <v>48</v>
      </c>
    </row>
    <row r="37" customFormat="false" ht="15" hidden="false" customHeight="true" outlineLevel="0" collapsed="false">
      <c r="B37" s="3" t="s">
        <v>49</v>
      </c>
      <c r="C37" s="3"/>
    </row>
    <row r="38" customFormat="false" ht="15" hidden="false" customHeight="false" outlineLevel="0" collapsed="false">
      <c r="B38" s="18" t="s">
        <v>50</v>
      </c>
      <c r="C38" s="19" t="s">
        <v>51</v>
      </c>
    </row>
    <row r="39" customFormat="false" ht="15" hidden="false" customHeight="false" outlineLevel="0" collapsed="false">
      <c r="B39" s="18" t="s">
        <v>52</v>
      </c>
      <c r="C39" s="19" t="s">
        <v>53</v>
      </c>
    </row>
    <row r="40" customFormat="false" ht="15" hidden="false" customHeight="false" outlineLevel="0" collapsed="false">
      <c r="B40" s="18" t="s">
        <v>54</v>
      </c>
      <c r="C40" s="19" t="s">
        <v>55</v>
      </c>
    </row>
    <row r="41" customFormat="false" ht="15" hidden="false" customHeight="false" outlineLevel="0" collapsed="false">
      <c r="B41" s="18" t="s">
        <v>56</v>
      </c>
      <c r="C41" s="19" t="s">
        <v>18</v>
      </c>
    </row>
    <row r="42" customFormat="false" ht="15" hidden="false" customHeight="false" outlineLevel="0" collapsed="false">
      <c r="B42" s="18" t="s">
        <v>57</v>
      </c>
      <c r="C42" s="19" t="s">
        <v>58</v>
      </c>
    </row>
    <row r="43" customFormat="false" ht="15" hidden="false" customHeight="false" outlineLevel="0" collapsed="false">
      <c r="B43" s="18" t="s">
        <v>59</v>
      </c>
      <c r="C43" s="19" t="s">
        <v>60</v>
      </c>
    </row>
    <row r="44" customFormat="false" ht="15" hidden="false" customHeight="false" outlineLevel="0" collapsed="false">
      <c r="B44" s="18" t="s">
        <v>61</v>
      </c>
      <c r="C44" s="19" t="s">
        <v>62</v>
      </c>
    </row>
    <row r="45" customFormat="false" ht="15" hidden="false" customHeight="false" outlineLevel="0" collapsed="false">
      <c r="B45" s="18" t="s">
        <v>63</v>
      </c>
      <c r="C45" s="19" t="s">
        <v>64</v>
      </c>
    </row>
    <row r="46" customFormat="false" ht="15" hidden="false" customHeight="false" outlineLevel="0" collapsed="false">
      <c r="B46" s="18" t="s">
        <v>65</v>
      </c>
      <c r="C46" s="19" t="s">
        <v>66</v>
      </c>
    </row>
    <row r="47" customFormat="false" ht="15" hidden="false" customHeight="false" outlineLevel="0" collapsed="false">
      <c r="B47" s="18" t="s">
        <v>67</v>
      </c>
      <c r="C47" s="19" t="s">
        <v>68</v>
      </c>
    </row>
  </sheetData>
  <mergeCells count="9">
    <mergeCell ref="B1:C1"/>
    <mergeCell ref="B2:C2"/>
    <mergeCell ref="B4:C4"/>
    <mergeCell ref="B12:C12"/>
    <mergeCell ref="B17:C17"/>
    <mergeCell ref="B24:C24"/>
    <mergeCell ref="B30:C30"/>
    <mergeCell ref="B34:C34"/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2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46"/>
    <col collapsed="false" customWidth="true" hidden="false" outlineLevel="0" max="8" min="7" style="0" width="36"/>
    <col collapsed="false" customWidth="true" hidden="false" outlineLevel="0" max="9" min="9" style="0" width="10"/>
    <col collapsed="false" customWidth="true" hidden="false" outlineLevel="0" max="10" min="10" style="0" width="36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8" min="18" style="0" width="36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30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4" min="24" style="0" width="24"/>
  </cols>
  <sheetData>
    <row r="1" customFormat="false" ht="25.5" hidden="false" customHeight="true" outlineLevel="0" collapsed="false">
      <c r="A1" s="20" t="s">
        <v>0</v>
      </c>
    </row>
    <row r="2" customFormat="false" ht="15" hidden="false" customHeight="false" outlineLevel="0" collapsed="false">
      <c r="A2" s="21" t="s">
        <v>69</v>
      </c>
    </row>
    <row r="3" customFormat="false" ht="21.75" hidden="false" customHeight="true" outlineLevel="0" collapsed="false">
      <c r="A3" s="22" t="s">
        <v>70</v>
      </c>
      <c r="B3" s="22"/>
      <c r="C3" s="22"/>
      <c r="D3" s="22"/>
      <c r="E3" s="22"/>
      <c r="F3" s="22"/>
      <c r="G3" s="22"/>
      <c r="H3" s="22"/>
      <c r="I3" s="23" t="s">
        <v>71</v>
      </c>
      <c r="J3" s="23"/>
      <c r="K3" s="23"/>
      <c r="L3" s="23"/>
      <c r="M3" s="23"/>
      <c r="N3" s="23"/>
      <c r="O3" s="24" t="s">
        <v>72</v>
      </c>
      <c r="P3" s="24"/>
      <c r="Q3" s="24"/>
      <c r="R3" s="24"/>
      <c r="S3" s="24"/>
      <c r="T3" s="24"/>
      <c r="U3" s="25" t="s">
        <v>73</v>
      </c>
      <c r="V3" s="25"/>
      <c r="W3" s="25"/>
      <c r="X3" s="25"/>
    </row>
    <row r="4" customFormat="false" ht="33.75" hidden="false" customHeight="true" outlineLevel="0" collapsed="false">
      <c r="A4" s="26" t="s">
        <v>50</v>
      </c>
      <c r="B4" s="26" t="s">
        <v>52</v>
      </c>
      <c r="C4" s="26" t="s">
        <v>54</v>
      </c>
      <c r="D4" s="26" t="s">
        <v>74</v>
      </c>
      <c r="E4" s="26" t="s">
        <v>75</v>
      </c>
      <c r="F4" s="26" t="s">
        <v>76</v>
      </c>
      <c r="G4" s="26" t="s">
        <v>77</v>
      </c>
      <c r="H4" s="26" t="s">
        <v>78</v>
      </c>
      <c r="I4" s="27" t="s">
        <v>56</v>
      </c>
      <c r="J4" s="27" t="s">
        <v>57</v>
      </c>
      <c r="K4" s="27" t="s">
        <v>59</v>
      </c>
      <c r="L4" s="27" t="s">
        <v>79</v>
      </c>
      <c r="M4" s="27" t="s">
        <v>80</v>
      </c>
      <c r="N4" s="27" t="s">
        <v>81</v>
      </c>
      <c r="O4" s="28" t="s">
        <v>82</v>
      </c>
      <c r="P4" s="28" t="s">
        <v>83</v>
      </c>
      <c r="Q4" s="28" t="s">
        <v>84</v>
      </c>
      <c r="R4" s="28" t="s">
        <v>85</v>
      </c>
      <c r="S4" s="28" t="s">
        <v>86</v>
      </c>
      <c r="T4" s="28" t="s">
        <v>65</v>
      </c>
      <c r="U4" s="29" t="s">
        <v>67</v>
      </c>
      <c r="V4" s="29" t="s">
        <v>87</v>
      </c>
      <c r="W4" s="29" t="s">
        <v>88</v>
      </c>
      <c r="X4" s="29" t="s">
        <v>89</v>
      </c>
    </row>
    <row r="5" customFormat="false" ht="77.25" hidden="false" customHeight="true" outlineLevel="0" collapsed="false">
      <c r="A5" s="30" t="s">
        <v>90</v>
      </c>
      <c r="B5" s="30" t="s">
        <v>91</v>
      </c>
      <c r="C5" s="31" t="s">
        <v>92</v>
      </c>
      <c r="D5" s="32" t="s">
        <v>93</v>
      </c>
      <c r="E5" s="30" t="s">
        <v>94</v>
      </c>
      <c r="F5" s="30" t="s">
        <v>95</v>
      </c>
      <c r="G5" s="33" t="s">
        <v>96</v>
      </c>
      <c r="H5" s="30" t="s">
        <v>97</v>
      </c>
      <c r="I5" s="32" t="s">
        <v>16</v>
      </c>
      <c r="J5" s="30"/>
      <c r="K5" s="30"/>
      <c r="L5" s="34"/>
      <c r="M5" s="32"/>
      <c r="N5" s="35" t="str">
        <f aca="false">IF(OR(L5="",M5=""),"",L5+IFERROR(VLOOKUP(M5,Lists!$G$3:$H$20,2,FALSE()),0))</f>
        <v/>
      </c>
      <c r="O5" s="32" t="s">
        <v>23</v>
      </c>
      <c r="P5" s="36" t="str">
        <f aca="true">IF(OR(N5="",O5="Closed",O5="Done - to verify"),"",N5-TODAY())</f>
        <v/>
      </c>
      <c r="Q5" s="37" t="str">
        <f aca="true">IF(C5="","",IF(O5="Closed","Closed",IF(O5="Done - to verify","To verify",IF(O5="On hold","On hold",IF(N5="","Set target",IF(N5&lt;TODAY(),"OVERDUE",IF(N5-TODAY()&lt;=7,"Due soon","On track")))))))</f>
        <v>Set target</v>
      </c>
      <c r="R5" s="30"/>
      <c r="S5" s="34"/>
      <c r="T5" s="30"/>
      <c r="U5" s="30" t="s">
        <v>98</v>
      </c>
      <c r="V5" s="30"/>
      <c r="W5" s="34"/>
      <c r="X5" s="30" t="s">
        <v>99</v>
      </c>
    </row>
    <row r="6" customFormat="false" ht="60" hidden="false" customHeight="true" outlineLevel="0" collapsed="false">
      <c r="A6" s="30" t="s">
        <v>100</v>
      </c>
      <c r="B6" s="30" t="s">
        <v>91</v>
      </c>
      <c r="C6" s="31" t="s">
        <v>101</v>
      </c>
      <c r="D6" s="32" t="s">
        <v>93</v>
      </c>
      <c r="E6" s="30" t="s">
        <v>94</v>
      </c>
      <c r="F6" s="30" t="s">
        <v>102</v>
      </c>
      <c r="G6" s="33" t="s">
        <v>103</v>
      </c>
      <c r="H6" s="30" t="s">
        <v>104</v>
      </c>
      <c r="I6" s="32" t="s">
        <v>16</v>
      </c>
      <c r="J6" s="30"/>
      <c r="K6" s="30"/>
      <c r="L6" s="34"/>
      <c r="M6" s="32"/>
      <c r="N6" s="35" t="str">
        <f aca="false">IF(OR(L6="",M6=""),"",L6+IFERROR(VLOOKUP(M6,Lists!$G$3:$H$20,2,FALSE()),0))</f>
        <v/>
      </c>
      <c r="O6" s="32" t="s">
        <v>23</v>
      </c>
      <c r="P6" s="36" t="str">
        <f aca="true">IF(OR(N6="",O6="Closed",O6="Done - to verify"),"",N6-TODAY())</f>
        <v/>
      </c>
      <c r="Q6" s="37" t="str">
        <f aca="true">IF(C6="","",IF(O6="Closed","Closed",IF(O6="Done - to verify","To verify",IF(O6="On hold","On hold",IF(N6="","Set target",IF(N6&lt;TODAY(),"OVERDUE",IF(N6-TODAY()&lt;=7,"Due soon","On track")))))))</f>
        <v>Set target</v>
      </c>
      <c r="R6" s="30"/>
      <c r="S6" s="34"/>
      <c r="T6" s="30"/>
      <c r="U6" s="30" t="s">
        <v>105</v>
      </c>
      <c r="V6" s="30"/>
      <c r="W6" s="34"/>
      <c r="X6" s="30"/>
    </row>
    <row r="7" customFormat="false" ht="63.75" hidden="false" customHeight="true" outlineLevel="0" collapsed="false">
      <c r="A7" s="30" t="s">
        <v>106</v>
      </c>
      <c r="B7" s="30" t="s">
        <v>91</v>
      </c>
      <c r="C7" s="31" t="s">
        <v>107</v>
      </c>
      <c r="D7" s="32" t="s">
        <v>93</v>
      </c>
      <c r="E7" s="30" t="s">
        <v>108</v>
      </c>
      <c r="F7" s="30" t="s">
        <v>109</v>
      </c>
      <c r="G7" s="33" t="s">
        <v>110</v>
      </c>
      <c r="H7" s="30" t="s">
        <v>111</v>
      </c>
      <c r="I7" s="32" t="s">
        <v>18</v>
      </c>
      <c r="J7" s="30"/>
      <c r="K7" s="30"/>
      <c r="L7" s="34"/>
      <c r="M7" s="32"/>
      <c r="N7" s="35" t="str">
        <f aca="false">IF(OR(L7="",M7=""),"",L7+IFERROR(VLOOKUP(M7,Lists!$G$3:$H$20,2,FALSE()),0))</f>
        <v/>
      </c>
      <c r="O7" s="32" t="s">
        <v>23</v>
      </c>
      <c r="P7" s="36" t="str">
        <f aca="true">IF(OR(N7="",O7="Closed",O7="Done - to verify"),"",N7-TODAY())</f>
        <v/>
      </c>
      <c r="Q7" s="37" t="str">
        <f aca="true">IF(C7="","",IF(O7="Closed","Closed",IF(O7="Done - to verify","To verify",IF(O7="On hold","On hold",IF(N7="","Set target",IF(N7&lt;TODAY(),"OVERDUE",IF(N7-TODAY()&lt;=7,"Due soon","On track")))))))</f>
        <v>Set target</v>
      </c>
      <c r="R7" s="30"/>
      <c r="S7" s="34"/>
      <c r="T7" s="30"/>
      <c r="U7" s="30" t="s">
        <v>105</v>
      </c>
      <c r="V7" s="30"/>
      <c r="W7" s="34"/>
      <c r="X7" s="30"/>
    </row>
    <row r="8" customFormat="false" ht="60" hidden="false" customHeight="true" outlineLevel="0" collapsed="false">
      <c r="A8" s="30" t="s">
        <v>112</v>
      </c>
      <c r="B8" s="30" t="s">
        <v>91</v>
      </c>
      <c r="C8" s="31" t="s">
        <v>113</v>
      </c>
      <c r="D8" s="32" t="s">
        <v>93</v>
      </c>
      <c r="E8" s="30" t="s">
        <v>114</v>
      </c>
      <c r="F8" s="30" t="s">
        <v>115</v>
      </c>
      <c r="G8" s="33" t="s">
        <v>116</v>
      </c>
      <c r="H8" s="30" t="s">
        <v>117</v>
      </c>
      <c r="I8" s="32" t="s">
        <v>16</v>
      </c>
      <c r="J8" s="30"/>
      <c r="K8" s="30"/>
      <c r="L8" s="34"/>
      <c r="M8" s="32"/>
      <c r="N8" s="35" t="str">
        <f aca="false">IF(OR(L8="",M8=""),"",L8+IFERROR(VLOOKUP(M8,Lists!$G$3:$H$20,2,FALSE()),0))</f>
        <v/>
      </c>
      <c r="O8" s="32" t="s">
        <v>23</v>
      </c>
      <c r="P8" s="36" t="str">
        <f aca="true">IF(OR(N8="",O8="Closed",O8="Done - to verify"),"",N8-TODAY())</f>
        <v/>
      </c>
      <c r="Q8" s="37" t="str">
        <f aca="true">IF(C8="","",IF(O8="Closed","Closed",IF(O8="Done - to verify","To verify",IF(O8="On hold","On hold",IF(N8="","Set target",IF(N8&lt;TODAY(),"OVERDUE",IF(N8-TODAY()&lt;=7,"Due soon","On track")))))))</f>
        <v>Set target</v>
      </c>
      <c r="R8" s="30"/>
      <c r="S8" s="34"/>
      <c r="T8" s="30"/>
      <c r="U8" s="30" t="s">
        <v>118</v>
      </c>
      <c r="V8" s="30"/>
      <c r="W8" s="34"/>
      <c r="X8" s="30"/>
    </row>
    <row r="9" customFormat="false" ht="60" hidden="false" customHeight="true" outlineLevel="0" collapsed="false">
      <c r="A9" s="30" t="s">
        <v>119</v>
      </c>
      <c r="B9" s="30" t="s">
        <v>91</v>
      </c>
      <c r="C9" s="31" t="s">
        <v>120</v>
      </c>
      <c r="D9" s="32" t="s">
        <v>93</v>
      </c>
      <c r="E9" s="30" t="s">
        <v>121</v>
      </c>
      <c r="F9" s="30" t="s">
        <v>122</v>
      </c>
      <c r="G9" s="33" t="s">
        <v>123</v>
      </c>
      <c r="H9" s="30" t="s">
        <v>124</v>
      </c>
      <c r="I9" s="32" t="s">
        <v>20</v>
      </c>
      <c r="J9" s="30"/>
      <c r="K9" s="30"/>
      <c r="L9" s="34"/>
      <c r="M9" s="32"/>
      <c r="N9" s="35" t="str">
        <f aca="false">IF(OR(L9="",M9=""),"",L9+IFERROR(VLOOKUP(M9,Lists!$G$3:$H$20,2,FALSE()),0))</f>
        <v/>
      </c>
      <c r="O9" s="32" t="s">
        <v>23</v>
      </c>
      <c r="P9" s="36" t="str">
        <f aca="true">IF(OR(N9="",O9="Closed",O9="Done - to verify"),"",N9-TODAY())</f>
        <v/>
      </c>
      <c r="Q9" s="37" t="str">
        <f aca="true">IF(C9="","",IF(O9="Closed","Closed",IF(O9="Done - to verify","To verify",IF(O9="On hold","On hold",IF(N9="","Set target",IF(N9&lt;TODAY(),"OVERDUE",IF(N9-TODAY()&lt;=7,"Due soon","On track")))))))</f>
        <v>Set target</v>
      </c>
      <c r="R9" s="30"/>
      <c r="S9" s="34"/>
      <c r="T9" s="30"/>
      <c r="U9" s="30" t="s">
        <v>105</v>
      </c>
      <c r="V9" s="30"/>
      <c r="W9" s="34"/>
      <c r="X9" s="30"/>
    </row>
    <row r="10" customFormat="false" ht="60" hidden="false" customHeight="true" outlineLevel="0" collapsed="false">
      <c r="A10" s="30" t="s">
        <v>125</v>
      </c>
      <c r="B10" s="30" t="s">
        <v>91</v>
      </c>
      <c r="C10" s="31" t="s">
        <v>126</v>
      </c>
      <c r="D10" s="32" t="s">
        <v>93</v>
      </c>
      <c r="E10" s="30" t="s">
        <v>127</v>
      </c>
      <c r="F10" s="30" t="s">
        <v>128</v>
      </c>
      <c r="G10" s="33" t="s">
        <v>129</v>
      </c>
      <c r="H10" s="30" t="s">
        <v>130</v>
      </c>
      <c r="I10" s="32" t="s">
        <v>18</v>
      </c>
      <c r="J10" s="30"/>
      <c r="K10" s="30"/>
      <c r="L10" s="34"/>
      <c r="M10" s="32"/>
      <c r="N10" s="35" t="str">
        <f aca="false">IF(OR(L10="",M10=""),"",L10+IFERROR(VLOOKUP(M10,Lists!$G$3:$H$20,2,FALSE()),0))</f>
        <v/>
      </c>
      <c r="O10" s="32" t="s">
        <v>23</v>
      </c>
      <c r="P10" s="36" t="str">
        <f aca="true">IF(OR(N10="",O10="Closed",O10="Done - to verify"),"",N10-TODAY())</f>
        <v/>
      </c>
      <c r="Q10" s="37" t="str">
        <f aca="true">IF(C10="","",IF(O10="Closed","Closed",IF(O10="Done - to verify","To verify",IF(O10="On hold","On hold",IF(N10="","Set target",IF(N10&lt;TODAY(),"OVERDUE",IF(N10-TODAY()&lt;=7,"Due soon","On track")))))))</f>
        <v>Set target</v>
      </c>
      <c r="R10" s="30"/>
      <c r="S10" s="34"/>
      <c r="T10" s="30"/>
      <c r="U10" s="30" t="s">
        <v>105</v>
      </c>
      <c r="V10" s="30"/>
      <c r="W10" s="34"/>
      <c r="X10" s="30"/>
    </row>
    <row r="11" customFormat="false" ht="60" hidden="false" customHeight="true" outlineLevel="0" collapsed="false">
      <c r="A11" s="30" t="s">
        <v>131</v>
      </c>
      <c r="B11" s="30" t="s">
        <v>91</v>
      </c>
      <c r="C11" s="31" t="s">
        <v>132</v>
      </c>
      <c r="D11" s="32" t="s">
        <v>93</v>
      </c>
      <c r="E11" s="30" t="s">
        <v>133</v>
      </c>
      <c r="F11" s="30" t="s">
        <v>134</v>
      </c>
      <c r="G11" s="33" t="s">
        <v>135</v>
      </c>
      <c r="H11" s="30" t="s">
        <v>136</v>
      </c>
      <c r="I11" s="32" t="s">
        <v>20</v>
      </c>
      <c r="J11" s="30"/>
      <c r="K11" s="30"/>
      <c r="L11" s="34"/>
      <c r="M11" s="32"/>
      <c r="N11" s="35" t="str">
        <f aca="false">IF(OR(L11="",M11=""),"",L11+IFERROR(VLOOKUP(M11,Lists!$G$3:$H$20,2,FALSE()),0))</f>
        <v/>
      </c>
      <c r="O11" s="32" t="s">
        <v>23</v>
      </c>
      <c r="P11" s="36" t="str">
        <f aca="true">IF(OR(N11="",O11="Closed",O11="Done - to verify"),"",N11-TODAY())</f>
        <v/>
      </c>
      <c r="Q11" s="37" t="str">
        <f aca="true">IF(C11="","",IF(O11="Closed","Closed",IF(O11="Done - to verify","To verify",IF(O11="On hold","On hold",IF(N11="","Set target",IF(N11&lt;TODAY(),"OVERDUE",IF(N11-TODAY()&lt;=7,"Due soon","On track")))))))</f>
        <v>Set target</v>
      </c>
      <c r="R11" s="30"/>
      <c r="S11" s="34"/>
      <c r="T11" s="30"/>
      <c r="U11" s="30" t="s">
        <v>105</v>
      </c>
      <c r="V11" s="30"/>
      <c r="W11" s="34"/>
      <c r="X11" s="30"/>
    </row>
    <row r="12" customFormat="false" ht="171.75" hidden="false" customHeight="true" outlineLevel="0" collapsed="false">
      <c r="A12" s="30" t="s">
        <v>137</v>
      </c>
      <c r="B12" s="30" t="s">
        <v>138</v>
      </c>
      <c r="C12" s="31" t="s">
        <v>139</v>
      </c>
      <c r="D12" s="32" t="s">
        <v>93</v>
      </c>
      <c r="E12" s="30" t="s">
        <v>140</v>
      </c>
      <c r="F12" s="30" t="s">
        <v>141</v>
      </c>
      <c r="G12" s="33" t="s">
        <v>142</v>
      </c>
      <c r="H12" s="30" t="s">
        <v>143</v>
      </c>
      <c r="I12" s="32" t="s">
        <v>16</v>
      </c>
      <c r="J12" s="30"/>
      <c r="K12" s="30"/>
      <c r="L12" s="34"/>
      <c r="M12" s="32"/>
      <c r="N12" s="35" t="str">
        <f aca="false">IF(OR(L12="",M12=""),"",L12+IFERROR(VLOOKUP(M12,Lists!$G$3:$H$20,2,FALSE()),0))</f>
        <v/>
      </c>
      <c r="O12" s="32" t="s">
        <v>23</v>
      </c>
      <c r="P12" s="36" t="str">
        <f aca="true">IF(OR(N12="",O12="Closed",O12="Done - to verify"),"",N12-TODAY())</f>
        <v/>
      </c>
      <c r="Q12" s="37" t="str">
        <f aca="true">IF(C12="","",IF(O12="Closed","Closed",IF(O12="Done - to verify","To verify",IF(O12="On hold","On hold",IF(N12="","Set target",IF(N12&lt;TODAY(),"OVERDUE",IF(N12-TODAY()&lt;=7,"Due soon","On track")))))))</f>
        <v>Set target</v>
      </c>
      <c r="R12" s="30"/>
      <c r="S12" s="34"/>
      <c r="T12" s="30"/>
      <c r="U12" s="30" t="s">
        <v>144</v>
      </c>
      <c r="V12" s="30"/>
      <c r="W12" s="34"/>
      <c r="X12" s="30" t="s">
        <v>145</v>
      </c>
    </row>
    <row r="13" customFormat="false" ht="15" hidden="false" customHeight="false" outlineLevel="0" collapsed="false">
      <c r="A13" s="30"/>
      <c r="B13" s="30"/>
      <c r="C13" s="30"/>
      <c r="D13" s="32"/>
      <c r="E13" s="30"/>
      <c r="F13" s="30"/>
      <c r="G13" s="30"/>
      <c r="H13" s="30"/>
      <c r="I13" s="32"/>
      <c r="J13" s="30"/>
      <c r="K13" s="30"/>
      <c r="L13" s="34"/>
      <c r="M13" s="32"/>
      <c r="N13" s="35" t="str">
        <f aca="false">IF(OR(L13="",M13=""),"",L13+IFERROR(VLOOKUP(M13,Lists!$G$3:$H$20,2,FALSE()),0))</f>
        <v/>
      </c>
      <c r="O13" s="32"/>
      <c r="P13" s="36" t="str">
        <f aca="true">IF(OR(N13="",O13="Closed",O13="Done - to verify"),"",N13-TODAY())</f>
        <v/>
      </c>
      <c r="Q13" s="37" t="str">
        <f aca="true">IF(C13="","",IF(O13="Closed","Closed",IF(O13="Done - to verify","To verify",IF(O13="On hold","On hold",IF(N13="","Set target",IF(N13&lt;TODAY(),"OVERDUE",IF(N13-TODAY()&lt;=7,"Due soon","On track")))))))</f>
        <v/>
      </c>
      <c r="R13" s="30"/>
      <c r="S13" s="34"/>
      <c r="T13" s="30"/>
      <c r="U13" s="30"/>
      <c r="V13" s="30"/>
      <c r="W13" s="34"/>
      <c r="X13" s="30"/>
    </row>
    <row r="14" customFormat="false" ht="15" hidden="false" customHeight="false" outlineLevel="0" collapsed="false">
      <c r="A14" s="30"/>
      <c r="B14" s="30"/>
      <c r="C14" s="30"/>
      <c r="D14" s="32"/>
      <c r="E14" s="30"/>
      <c r="F14" s="30"/>
      <c r="G14" s="30"/>
      <c r="H14" s="30"/>
      <c r="I14" s="32"/>
      <c r="J14" s="30"/>
      <c r="K14" s="30"/>
      <c r="L14" s="34"/>
      <c r="M14" s="32"/>
      <c r="N14" s="35" t="str">
        <f aca="false">IF(OR(L14="",M14=""),"",L14+IFERROR(VLOOKUP(M14,Lists!$G$3:$H$20,2,FALSE()),0))</f>
        <v/>
      </c>
      <c r="O14" s="32"/>
      <c r="P14" s="36" t="str">
        <f aca="true">IF(OR(N14="",O14="Closed",O14="Done - to verify"),"",N14-TODAY())</f>
        <v/>
      </c>
      <c r="Q14" s="37" t="str">
        <f aca="true">IF(C14="","",IF(O14="Closed","Closed",IF(O14="Done - to verify","To verify",IF(O14="On hold","On hold",IF(N14="","Set target",IF(N14&lt;TODAY(),"OVERDUE",IF(N14-TODAY()&lt;=7,"Due soon","On track")))))))</f>
        <v/>
      </c>
      <c r="R14" s="30"/>
      <c r="S14" s="34"/>
      <c r="T14" s="30"/>
      <c r="U14" s="30"/>
      <c r="V14" s="30"/>
      <c r="W14" s="34"/>
      <c r="X14" s="30"/>
    </row>
    <row r="15" customFormat="false" ht="15" hidden="false" customHeight="false" outlineLevel="0" collapsed="false">
      <c r="A15" s="30"/>
      <c r="B15" s="30"/>
      <c r="C15" s="30"/>
      <c r="D15" s="32"/>
      <c r="E15" s="30"/>
      <c r="F15" s="30"/>
      <c r="G15" s="30"/>
      <c r="H15" s="30"/>
      <c r="I15" s="32"/>
      <c r="J15" s="30"/>
      <c r="K15" s="30"/>
      <c r="L15" s="34"/>
      <c r="M15" s="32"/>
      <c r="N15" s="35" t="str">
        <f aca="false">IF(OR(L15="",M15=""),"",L15+IFERROR(VLOOKUP(M15,Lists!$G$3:$H$20,2,FALSE()),0))</f>
        <v/>
      </c>
      <c r="O15" s="32"/>
      <c r="P15" s="36" t="str">
        <f aca="true">IF(OR(N15="",O15="Closed",O15="Done - to verify"),"",N15-TODAY())</f>
        <v/>
      </c>
      <c r="Q15" s="37" t="str">
        <f aca="true">IF(C15="","",IF(O15="Closed","Closed",IF(O15="Done - to verify","To verify",IF(O15="On hold","On hold",IF(N15="","Set target",IF(N15&lt;TODAY(),"OVERDUE",IF(N15-TODAY()&lt;=7,"Due soon","On track")))))))</f>
        <v/>
      </c>
      <c r="R15" s="30"/>
      <c r="S15" s="34"/>
      <c r="T15" s="30"/>
      <c r="U15" s="30"/>
      <c r="V15" s="30"/>
      <c r="W15" s="34"/>
      <c r="X15" s="30"/>
    </row>
    <row r="16" customFormat="false" ht="15" hidden="false" customHeight="false" outlineLevel="0" collapsed="false">
      <c r="A16" s="30"/>
      <c r="B16" s="30"/>
      <c r="C16" s="30"/>
      <c r="D16" s="32"/>
      <c r="E16" s="30"/>
      <c r="F16" s="30"/>
      <c r="G16" s="30"/>
      <c r="H16" s="30"/>
      <c r="I16" s="32"/>
      <c r="J16" s="30"/>
      <c r="K16" s="30"/>
      <c r="L16" s="34"/>
      <c r="M16" s="32"/>
      <c r="N16" s="35" t="str">
        <f aca="false">IF(OR(L16="",M16=""),"",L16+IFERROR(VLOOKUP(M16,Lists!$G$3:$H$20,2,FALSE()),0))</f>
        <v/>
      </c>
      <c r="O16" s="32"/>
      <c r="P16" s="36" t="str">
        <f aca="true">IF(OR(N16="",O16="Closed",O16="Done - to verify"),"",N16-TODAY())</f>
        <v/>
      </c>
      <c r="Q16" s="37" t="str">
        <f aca="true">IF(C16="","",IF(O16="Closed","Closed",IF(O16="Done - to verify","To verify",IF(O16="On hold","On hold",IF(N16="","Set target",IF(N16&lt;TODAY(),"OVERDUE",IF(N16-TODAY()&lt;=7,"Due soon","On track")))))))</f>
        <v/>
      </c>
      <c r="R16" s="30"/>
      <c r="S16" s="34"/>
      <c r="T16" s="30"/>
      <c r="U16" s="30"/>
      <c r="V16" s="30"/>
      <c r="W16" s="34"/>
      <c r="X16" s="30"/>
    </row>
    <row r="17" customFormat="false" ht="15" hidden="false" customHeight="false" outlineLevel="0" collapsed="false">
      <c r="A17" s="30"/>
      <c r="B17" s="30"/>
      <c r="C17" s="30"/>
      <c r="D17" s="32"/>
      <c r="E17" s="30"/>
      <c r="F17" s="30"/>
      <c r="G17" s="30"/>
      <c r="H17" s="30"/>
      <c r="I17" s="32"/>
      <c r="J17" s="30"/>
      <c r="K17" s="30"/>
      <c r="L17" s="34"/>
      <c r="M17" s="32"/>
      <c r="N17" s="35" t="str">
        <f aca="false">IF(OR(L17="",M17=""),"",L17+IFERROR(VLOOKUP(M17,Lists!$G$3:$H$20,2,FALSE()),0))</f>
        <v/>
      </c>
      <c r="O17" s="32"/>
      <c r="P17" s="36" t="str">
        <f aca="true">IF(OR(N17="",O17="Closed",O17="Done - to verify"),"",N17-TODAY())</f>
        <v/>
      </c>
      <c r="Q17" s="37" t="str">
        <f aca="true">IF(C17="","",IF(O17="Closed","Closed",IF(O17="Done - to verify","To verify",IF(O17="On hold","On hold",IF(N17="","Set target",IF(N17&lt;TODAY(),"OVERDUE",IF(N17-TODAY()&lt;=7,"Due soon","On track")))))))</f>
        <v/>
      </c>
      <c r="R17" s="30"/>
      <c r="S17" s="34"/>
      <c r="T17" s="30"/>
      <c r="U17" s="30"/>
      <c r="V17" s="30"/>
      <c r="W17" s="34"/>
      <c r="X17" s="30"/>
    </row>
    <row r="18" customFormat="false" ht="15" hidden="false" customHeight="false" outlineLevel="0" collapsed="false">
      <c r="A18" s="30"/>
      <c r="B18" s="30"/>
      <c r="C18" s="30"/>
      <c r="D18" s="32"/>
      <c r="E18" s="30"/>
      <c r="F18" s="30"/>
      <c r="G18" s="30"/>
      <c r="H18" s="30"/>
      <c r="I18" s="32"/>
      <c r="J18" s="30"/>
      <c r="K18" s="30"/>
      <c r="L18" s="34"/>
      <c r="M18" s="32"/>
      <c r="N18" s="35" t="str">
        <f aca="false">IF(OR(L18="",M18=""),"",L18+IFERROR(VLOOKUP(M18,Lists!$G$3:$H$20,2,FALSE()),0))</f>
        <v/>
      </c>
      <c r="O18" s="32"/>
      <c r="P18" s="36" t="str">
        <f aca="true">IF(OR(N18="",O18="Closed",O18="Done - to verify"),"",N18-TODAY())</f>
        <v/>
      </c>
      <c r="Q18" s="37" t="str">
        <f aca="true">IF(C18="","",IF(O18="Closed","Closed",IF(O18="Done - to verify","To verify",IF(O18="On hold","On hold",IF(N18="","Set target",IF(N18&lt;TODAY(),"OVERDUE",IF(N18-TODAY()&lt;=7,"Due soon","On track")))))))</f>
        <v/>
      </c>
      <c r="R18" s="30"/>
      <c r="S18" s="34"/>
      <c r="T18" s="30"/>
      <c r="U18" s="30"/>
      <c r="V18" s="30"/>
      <c r="W18" s="34"/>
      <c r="X18" s="30"/>
    </row>
    <row r="19" customFormat="false" ht="15" hidden="false" customHeight="false" outlineLevel="0" collapsed="false">
      <c r="A19" s="30"/>
      <c r="B19" s="30"/>
      <c r="C19" s="30"/>
      <c r="D19" s="32"/>
      <c r="E19" s="30"/>
      <c r="F19" s="30"/>
      <c r="G19" s="30"/>
      <c r="H19" s="30"/>
      <c r="I19" s="32"/>
      <c r="J19" s="30"/>
      <c r="K19" s="30"/>
      <c r="L19" s="34"/>
      <c r="M19" s="32"/>
      <c r="N19" s="35" t="str">
        <f aca="false">IF(OR(L19="",M19=""),"",L19+IFERROR(VLOOKUP(M19,Lists!$G$3:$H$20,2,FALSE()),0))</f>
        <v/>
      </c>
      <c r="O19" s="32"/>
      <c r="P19" s="36" t="str">
        <f aca="true">IF(OR(N19="",O19="Closed",O19="Done - to verify"),"",N19-TODAY())</f>
        <v/>
      </c>
      <c r="Q19" s="37" t="str">
        <f aca="true">IF(C19="","",IF(O19="Closed","Closed",IF(O19="Done - to verify","To verify",IF(O19="On hold","On hold",IF(N19="","Set target",IF(N19&lt;TODAY(),"OVERDUE",IF(N19-TODAY()&lt;=7,"Due soon","On track")))))))</f>
        <v/>
      </c>
      <c r="R19" s="30"/>
      <c r="S19" s="34"/>
      <c r="T19" s="30"/>
      <c r="U19" s="30"/>
      <c r="V19" s="30"/>
      <c r="W19" s="34"/>
      <c r="X19" s="30"/>
    </row>
    <row r="20" customFormat="false" ht="15" hidden="false" customHeight="false" outlineLevel="0" collapsed="false">
      <c r="A20" s="30"/>
      <c r="B20" s="30"/>
      <c r="C20" s="30"/>
      <c r="D20" s="32"/>
      <c r="E20" s="30"/>
      <c r="F20" s="30"/>
      <c r="G20" s="30"/>
      <c r="H20" s="30"/>
      <c r="I20" s="32"/>
      <c r="J20" s="30"/>
      <c r="K20" s="30"/>
      <c r="L20" s="34"/>
      <c r="M20" s="32"/>
      <c r="N20" s="35" t="str">
        <f aca="false">IF(OR(L20="",M20=""),"",L20+IFERROR(VLOOKUP(M20,Lists!$G$3:$H$20,2,FALSE()),0))</f>
        <v/>
      </c>
      <c r="O20" s="32"/>
      <c r="P20" s="36" t="str">
        <f aca="true">IF(OR(N20="",O20="Closed",O20="Done - to verify"),"",N20-TODAY())</f>
        <v/>
      </c>
      <c r="Q20" s="37" t="str">
        <f aca="true">IF(C20="","",IF(O20="Closed","Closed",IF(O20="Done - to verify","To verify",IF(O20="On hold","On hold",IF(N20="","Set target",IF(N20&lt;TODAY(),"OVERDUE",IF(N20-TODAY()&lt;=7,"Due soon","On track")))))))</f>
        <v/>
      </c>
      <c r="R20" s="30"/>
      <c r="S20" s="34"/>
      <c r="T20" s="30"/>
      <c r="U20" s="30"/>
      <c r="V20" s="30"/>
      <c r="W20" s="34"/>
      <c r="X20" s="30"/>
    </row>
    <row r="21" customFormat="false" ht="15" hidden="false" customHeight="false" outlineLevel="0" collapsed="false">
      <c r="A21" s="30"/>
      <c r="B21" s="30"/>
      <c r="C21" s="30"/>
      <c r="D21" s="32"/>
      <c r="E21" s="30"/>
      <c r="F21" s="30"/>
      <c r="G21" s="30"/>
      <c r="H21" s="30"/>
      <c r="I21" s="32"/>
      <c r="J21" s="30"/>
      <c r="K21" s="30"/>
      <c r="L21" s="34"/>
      <c r="M21" s="32"/>
      <c r="N21" s="35" t="str">
        <f aca="false">IF(OR(L21="",M21=""),"",L21+IFERROR(VLOOKUP(M21,Lists!$G$3:$H$20,2,FALSE()),0))</f>
        <v/>
      </c>
      <c r="O21" s="32"/>
      <c r="P21" s="36" t="str">
        <f aca="true">IF(OR(N21="",O21="Closed",O21="Done - to verify"),"",N21-TODAY())</f>
        <v/>
      </c>
      <c r="Q21" s="37" t="str">
        <f aca="true">IF(C21="","",IF(O21="Closed","Closed",IF(O21="Done - to verify","To verify",IF(O21="On hold","On hold",IF(N21="","Set target",IF(N21&lt;TODAY(),"OVERDUE",IF(N21-TODAY()&lt;=7,"Due soon","On track")))))))</f>
        <v/>
      </c>
      <c r="R21" s="30"/>
      <c r="S21" s="34"/>
      <c r="T21" s="30"/>
      <c r="U21" s="30"/>
      <c r="V21" s="30"/>
      <c r="W21" s="34"/>
      <c r="X21" s="30"/>
    </row>
    <row r="22" customFormat="false" ht="15" hidden="false" customHeight="false" outlineLevel="0" collapsed="false">
      <c r="A22" s="30"/>
      <c r="B22" s="30"/>
      <c r="C22" s="30"/>
      <c r="D22" s="32"/>
      <c r="E22" s="30"/>
      <c r="F22" s="30"/>
      <c r="G22" s="30"/>
      <c r="H22" s="30"/>
      <c r="I22" s="32"/>
      <c r="J22" s="30"/>
      <c r="K22" s="30"/>
      <c r="L22" s="34"/>
      <c r="M22" s="32"/>
      <c r="N22" s="35" t="str">
        <f aca="false">IF(OR(L22="",M22=""),"",L22+IFERROR(VLOOKUP(M22,Lists!$G$3:$H$20,2,FALSE()),0))</f>
        <v/>
      </c>
      <c r="O22" s="32"/>
      <c r="P22" s="36" t="str">
        <f aca="true">IF(OR(N22="",O22="Closed",O22="Done - to verify"),"",N22-TODAY())</f>
        <v/>
      </c>
      <c r="Q22" s="37" t="str">
        <f aca="true">IF(C22="","",IF(O22="Closed","Closed",IF(O22="Done - to verify","To verify",IF(O22="On hold","On hold",IF(N22="","Set target",IF(N22&lt;TODAY(),"OVERDUE",IF(N22-TODAY()&lt;=7,"Due soon","On track")))))))</f>
        <v/>
      </c>
      <c r="R22" s="30"/>
      <c r="S22" s="34"/>
      <c r="T22" s="30"/>
      <c r="U22" s="30"/>
      <c r="V22" s="30"/>
      <c r="W22" s="34"/>
      <c r="X22" s="30"/>
    </row>
    <row r="23" customFormat="false" ht="15" hidden="false" customHeight="false" outlineLevel="0" collapsed="false">
      <c r="A23" s="30"/>
      <c r="B23" s="30"/>
      <c r="C23" s="30"/>
      <c r="D23" s="32"/>
      <c r="E23" s="30"/>
      <c r="F23" s="30"/>
      <c r="G23" s="30"/>
      <c r="H23" s="30"/>
      <c r="I23" s="32"/>
      <c r="J23" s="30"/>
      <c r="K23" s="30"/>
      <c r="L23" s="34"/>
      <c r="M23" s="32"/>
      <c r="N23" s="35" t="str">
        <f aca="false">IF(OR(L23="",M23=""),"",L23+IFERROR(VLOOKUP(M23,Lists!$G$3:$H$20,2,FALSE()),0))</f>
        <v/>
      </c>
      <c r="O23" s="32"/>
      <c r="P23" s="36" t="str">
        <f aca="true">IF(OR(N23="",O23="Closed",O23="Done - to verify"),"",N23-TODAY())</f>
        <v/>
      </c>
      <c r="Q23" s="37" t="str">
        <f aca="true">IF(C23="","",IF(O23="Closed","Closed",IF(O23="Done - to verify","To verify",IF(O23="On hold","On hold",IF(N23="","Set target",IF(N23&lt;TODAY(),"OVERDUE",IF(N23-TODAY()&lt;=7,"Due soon","On track")))))))</f>
        <v/>
      </c>
      <c r="R23" s="30"/>
      <c r="S23" s="34"/>
      <c r="T23" s="30"/>
      <c r="U23" s="30"/>
      <c r="V23" s="30"/>
      <c r="W23" s="34"/>
      <c r="X23" s="30"/>
    </row>
    <row r="24" customFormat="false" ht="15" hidden="false" customHeight="false" outlineLevel="0" collapsed="false">
      <c r="A24" s="30"/>
      <c r="B24" s="30"/>
      <c r="C24" s="30"/>
      <c r="D24" s="32"/>
      <c r="E24" s="30"/>
      <c r="F24" s="30"/>
      <c r="G24" s="30"/>
      <c r="H24" s="30"/>
      <c r="I24" s="32"/>
      <c r="J24" s="30"/>
      <c r="K24" s="30"/>
      <c r="L24" s="34"/>
      <c r="M24" s="32"/>
      <c r="N24" s="35" t="str">
        <f aca="false">IF(OR(L24="",M24=""),"",L24+IFERROR(VLOOKUP(M24,Lists!$G$3:$H$20,2,FALSE()),0))</f>
        <v/>
      </c>
      <c r="O24" s="32"/>
      <c r="P24" s="36" t="str">
        <f aca="true">IF(OR(N24="",O24="Closed",O24="Done - to verify"),"",N24-TODAY())</f>
        <v/>
      </c>
      <c r="Q24" s="37" t="str">
        <f aca="true">IF(C24="","",IF(O24="Closed","Closed",IF(O24="Done - to verify","To verify",IF(O24="On hold","On hold",IF(N24="","Set target",IF(N24&lt;TODAY(),"OVERDUE",IF(N24-TODAY()&lt;=7,"Due soon","On track")))))))</f>
        <v/>
      </c>
      <c r="R24" s="30"/>
      <c r="S24" s="34"/>
      <c r="T24" s="30"/>
      <c r="U24" s="30"/>
      <c r="V24" s="30"/>
      <c r="W24" s="34"/>
      <c r="X24" s="30"/>
    </row>
    <row r="25" customFormat="false" ht="15" hidden="false" customHeight="false" outlineLevel="0" collapsed="false">
      <c r="A25" s="30"/>
      <c r="B25" s="30"/>
      <c r="C25" s="30"/>
      <c r="D25" s="32"/>
      <c r="E25" s="30"/>
      <c r="F25" s="30"/>
      <c r="G25" s="30"/>
      <c r="H25" s="30"/>
      <c r="I25" s="32"/>
      <c r="J25" s="30"/>
      <c r="K25" s="30"/>
      <c r="L25" s="34"/>
      <c r="M25" s="32"/>
      <c r="N25" s="35" t="str">
        <f aca="false">IF(OR(L25="",M25=""),"",L25+IFERROR(VLOOKUP(M25,Lists!$G$3:$H$20,2,FALSE()),0))</f>
        <v/>
      </c>
      <c r="O25" s="32"/>
      <c r="P25" s="36" t="str">
        <f aca="true">IF(OR(N25="",O25="Closed",O25="Done - to verify"),"",N25-TODAY())</f>
        <v/>
      </c>
      <c r="Q25" s="37" t="str">
        <f aca="true">IF(C25="","",IF(O25="Closed","Closed",IF(O25="Done - to verify","To verify",IF(O25="On hold","On hold",IF(N25="","Set target",IF(N25&lt;TODAY(),"OVERDUE",IF(N25-TODAY()&lt;=7,"Due soon","On track")))))))</f>
        <v/>
      </c>
      <c r="R25" s="30"/>
      <c r="S25" s="34"/>
      <c r="T25" s="30"/>
      <c r="U25" s="30"/>
      <c r="V25" s="30"/>
      <c r="W25" s="34"/>
      <c r="X25" s="30"/>
    </row>
    <row r="26" customFormat="false" ht="15" hidden="false" customHeight="false" outlineLevel="0" collapsed="false">
      <c r="A26" s="30"/>
      <c r="B26" s="30"/>
      <c r="C26" s="30"/>
      <c r="D26" s="32"/>
      <c r="E26" s="30"/>
      <c r="F26" s="30"/>
      <c r="G26" s="30"/>
      <c r="H26" s="30"/>
      <c r="I26" s="32"/>
      <c r="J26" s="30"/>
      <c r="K26" s="30"/>
      <c r="L26" s="34"/>
      <c r="M26" s="32"/>
      <c r="N26" s="35" t="str">
        <f aca="false">IF(OR(L26="",M26=""),"",L26+IFERROR(VLOOKUP(M26,Lists!$G$3:$H$20,2,FALSE()),0))</f>
        <v/>
      </c>
      <c r="O26" s="32"/>
      <c r="P26" s="36" t="str">
        <f aca="true">IF(OR(N26="",O26="Closed",O26="Done - to verify"),"",N26-TODAY())</f>
        <v/>
      </c>
      <c r="Q26" s="37" t="str">
        <f aca="true">IF(C26="","",IF(O26="Closed","Closed",IF(O26="Done - to verify","To verify",IF(O26="On hold","On hold",IF(N26="","Set target",IF(N26&lt;TODAY(),"OVERDUE",IF(N26-TODAY()&lt;=7,"Due soon","On track")))))))</f>
        <v/>
      </c>
      <c r="R26" s="30"/>
      <c r="S26" s="34"/>
      <c r="T26" s="30"/>
      <c r="U26" s="30"/>
      <c r="V26" s="30"/>
      <c r="W26" s="34"/>
      <c r="X26" s="30"/>
    </row>
    <row r="27" customFormat="false" ht="15" hidden="false" customHeight="false" outlineLevel="0" collapsed="false">
      <c r="A27" s="30"/>
      <c r="B27" s="30"/>
      <c r="C27" s="30"/>
      <c r="D27" s="32"/>
      <c r="E27" s="30"/>
      <c r="F27" s="30"/>
      <c r="G27" s="30"/>
      <c r="H27" s="30"/>
      <c r="I27" s="32"/>
      <c r="J27" s="30"/>
      <c r="K27" s="30"/>
      <c r="L27" s="34"/>
      <c r="M27" s="32"/>
      <c r="N27" s="35" t="str">
        <f aca="false">IF(OR(L27="",M27=""),"",L27+IFERROR(VLOOKUP(M27,Lists!$G$3:$H$20,2,FALSE()),0))</f>
        <v/>
      </c>
      <c r="O27" s="32"/>
      <c r="P27" s="36" t="str">
        <f aca="true">IF(OR(N27="",O27="Closed",O27="Done - to verify"),"",N27-TODAY())</f>
        <v/>
      </c>
      <c r="Q27" s="37" t="str">
        <f aca="true">IF(C27="","",IF(O27="Closed","Closed",IF(O27="Done - to verify","To verify",IF(O27="On hold","On hold",IF(N27="","Set target",IF(N27&lt;TODAY(),"OVERDUE",IF(N27-TODAY()&lt;=7,"Due soon","On track")))))))</f>
        <v/>
      </c>
      <c r="R27" s="30"/>
      <c r="S27" s="34"/>
      <c r="T27" s="30"/>
      <c r="U27" s="30"/>
      <c r="V27" s="30"/>
      <c r="W27" s="34"/>
      <c r="X27" s="30"/>
    </row>
    <row r="28" customFormat="false" ht="15" hidden="false" customHeight="false" outlineLevel="0" collapsed="false">
      <c r="A28" s="30"/>
      <c r="B28" s="30"/>
      <c r="C28" s="30"/>
      <c r="D28" s="32"/>
      <c r="E28" s="30"/>
      <c r="F28" s="30"/>
      <c r="G28" s="30"/>
      <c r="H28" s="30"/>
      <c r="I28" s="32"/>
      <c r="J28" s="30"/>
      <c r="K28" s="30"/>
      <c r="L28" s="34"/>
      <c r="M28" s="32"/>
      <c r="N28" s="35" t="str">
        <f aca="false">IF(OR(L28="",M28=""),"",L28+IFERROR(VLOOKUP(M28,Lists!$G$3:$H$20,2,FALSE()),0))</f>
        <v/>
      </c>
      <c r="O28" s="32"/>
      <c r="P28" s="36" t="str">
        <f aca="true">IF(OR(N28="",O28="Closed",O28="Done - to verify"),"",N28-TODAY())</f>
        <v/>
      </c>
      <c r="Q28" s="37" t="str">
        <f aca="true">IF(C28="","",IF(O28="Closed","Closed",IF(O28="Done - to verify","To verify",IF(O28="On hold","On hold",IF(N28="","Set target",IF(N28&lt;TODAY(),"OVERDUE",IF(N28-TODAY()&lt;=7,"Due soon","On track")))))))</f>
        <v/>
      </c>
      <c r="R28" s="30"/>
      <c r="S28" s="34"/>
      <c r="T28" s="30"/>
      <c r="U28" s="30"/>
      <c r="V28" s="30"/>
      <c r="W28" s="34"/>
      <c r="X28" s="30"/>
    </row>
    <row r="29" customFormat="false" ht="15" hidden="false" customHeight="false" outlineLevel="0" collapsed="false">
      <c r="A29" s="30"/>
      <c r="B29" s="30"/>
      <c r="C29" s="30"/>
      <c r="D29" s="32"/>
      <c r="E29" s="30"/>
      <c r="F29" s="30"/>
      <c r="G29" s="30"/>
      <c r="H29" s="30"/>
      <c r="I29" s="32"/>
      <c r="J29" s="30"/>
      <c r="K29" s="30"/>
      <c r="L29" s="34"/>
      <c r="M29" s="32"/>
      <c r="N29" s="35" t="str">
        <f aca="false">IF(OR(L29="",M29=""),"",L29+IFERROR(VLOOKUP(M29,Lists!$G$3:$H$20,2,FALSE()),0))</f>
        <v/>
      </c>
      <c r="O29" s="32"/>
      <c r="P29" s="36" t="str">
        <f aca="true">IF(OR(N29="",O29="Closed",O29="Done - to verify"),"",N29-TODAY())</f>
        <v/>
      </c>
      <c r="Q29" s="37" t="str">
        <f aca="true">IF(C29="","",IF(O29="Closed","Closed",IF(O29="Done - to verify","To verify",IF(O29="On hold","On hold",IF(N29="","Set target",IF(N29&lt;TODAY(),"OVERDUE",IF(N29-TODAY()&lt;=7,"Due soon","On track")))))))</f>
        <v/>
      </c>
      <c r="R29" s="30"/>
      <c r="S29" s="34"/>
      <c r="T29" s="30"/>
      <c r="U29" s="30"/>
      <c r="V29" s="30"/>
      <c r="W29" s="34"/>
      <c r="X29" s="30"/>
    </row>
    <row r="30" customFormat="false" ht="15" hidden="false" customHeight="false" outlineLevel="0" collapsed="false">
      <c r="A30" s="30"/>
      <c r="B30" s="30"/>
      <c r="C30" s="30"/>
      <c r="D30" s="32"/>
      <c r="E30" s="30"/>
      <c r="F30" s="30"/>
      <c r="G30" s="30"/>
      <c r="H30" s="30"/>
      <c r="I30" s="32"/>
      <c r="J30" s="30"/>
      <c r="K30" s="30"/>
      <c r="L30" s="34"/>
      <c r="M30" s="32"/>
      <c r="N30" s="35" t="str">
        <f aca="false">IF(OR(L30="",M30=""),"",L30+IFERROR(VLOOKUP(M30,Lists!$G$3:$H$20,2,FALSE()),0))</f>
        <v/>
      </c>
      <c r="O30" s="32"/>
      <c r="P30" s="36" t="str">
        <f aca="true">IF(OR(N30="",O30="Closed",O30="Done - to verify"),"",N30-TODAY())</f>
        <v/>
      </c>
      <c r="Q30" s="37" t="str">
        <f aca="true">IF(C30="","",IF(O30="Closed","Closed",IF(O30="Done - to verify","To verify",IF(O30="On hold","On hold",IF(N30="","Set target",IF(N30&lt;TODAY(),"OVERDUE",IF(N30-TODAY()&lt;=7,"Due soon","On track")))))))</f>
        <v/>
      </c>
      <c r="R30" s="30"/>
      <c r="S30" s="34"/>
      <c r="T30" s="30"/>
      <c r="U30" s="30"/>
      <c r="V30" s="30"/>
      <c r="W30" s="34"/>
      <c r="X30" s="30"/>
    </row>
    <row r="31" customFormat="false" ht="15" hidden="false" customHeight="false" outlineLevel="0" collapsed="false">
      <c r="A31" s="30"/>
      <c r="B31" s="30"/>
      <c r="C31" s="30"/>
      <c r="D31" s="32"/>
      <c r="E31" s="30"/>
      <c r="F31" s="30"/>
      <c r="G31" s="30"/>
      <c r="H31" s="30"/>
      <c r="I31" s="32"/>
      <c r="J31" s="30"/>
      <c r="K31" s="30"/>
      <c r="L31" s="34"/>
      <c r="M31" s="32"/>
      <c r="N31" s="35" t="str">
        <f aca="false">IF(OR(L31="",M31=""),"",L31+IFERROR(VLOOKUP(M31,Lists!$G$3:$H$20,2,FALSE()),0))</f>
        <v/>
      </c>
      <c r="O31" s="32"/>
      <c r="P31" s="36" t="str">
        <f aca="true">IF(OR(N31="",O31="Closed",O31="Done - to verify"),"",N31-TODAY())</f>
        <v/>
      </c>
      <c r="Q31" s="37" t="str">
        <f aca="true">IF(C31="","",IF(O31="Closed","Closed",IF(O31="Done - to verify","To verify",IF(O31="On hold","On hold",IF(N31="","Set target",IF(N31&lt;TODAY(),"OVERDUE",IF(N31-TODAY()&lt;=7,"Due soon","On track")))))))</f>
        <v/>
      </c>
      <c r="R31" s="30"/>
      <c r="S31" s="34"/>
      <c r="T31" s="30"/>
      <c r="U31" s="30"/>
      <c r="V31" s="30"/>
      <c r="W31" s="34"/>
      <c r="X31" s="30"/>
    </row>
    <row r="32" customFormat="false" ht="15" hidden="false" customHeight="false" outlineLevel="0" collapsed="false">
      <c r="A32" s="30"/>
      <c r="B32" s="30"/>
      <c r="C32" s="30"/>
      <c r="D32" s="32"/>
      <c r="E32" s="30"/>
      <c r="F32" s="30"/>
      <c r="G32" s="30"/>
      <c r="H32" s="30"/>
      <c r="I32" s="32"/>
      <c r="J32" s="30"/>
      <c r="K32" s="30"/>
      <c r="L32" s="34"/>
      <c r="M32" s="32"/>
      <c r="N32" s="35" t="str">
        <f aca="false">IF(OR(L32="",M32=""),"",L32+IFERROR(VLOOKUP(M32,Lists!$G$3:$H$20,2,FALSE()),0))</f>
        <v/>
      </c>
      <c r="O32" s="32"/>
      <c r="P32" s="36" t="str">
        <f aca="true">IF(OR(N32="",O32="Closed",O32="Done - to verify"),"",N32-TODAY())</f>
        <v/>
      </c>
      <c r="Q32" s="37" t="str">
        <f aca="true">IF(C32="","",IF(O32="Closed","Closed",IF(O32="Done - to verify","To verify",IF(O32="On hold","On hold",IF(N32="","Set target",IF(N32&lt;TODAY(),"OVERDUE",IF(N32-TODAY()&lt;=7,"Due soon","On track")))))))</f>
        <v/>
      </c>
      <c r="R32" s="30"/>
      <c r="S32" s="34"/>
      <c r="T32" s="30"/>
      <c r="U32" s="30"/>
      <c r="V32" s="30"/>
      <c r="W32" s="34"/>
      <c r="X32" s="30"/>
    </row>
    <row r="33" customFormat="false" ht="15" hidden="false" customHeight="false" outlineLevel="0" collapsed="false">
      <c r="A33" s="30"/>
      <c r="B33" s="30"/>
      <c r="C33" s="30"/>
      <c r="D33" s="32"/>
      <c r="E33" s="30"/>
      <c r="F33" s="30"/>
      <c r="G33" s="30"/>
      <c r="H33" s="30"/>
      <c r="I33" s="32"/>
      <c r="J33" s="30"/>
      <c r="K33" s="30"/>
      <c r="L33" s="34"/>
      <c r="M33" s="32"/>
      <c r="N33" s="35" t="str">
        <f aca="false">IF(OR(L33="",M33=""),"",L33+IFERROR(VLOOKUP(M33,Lists!$G$3:$H$20,2,FALSE()),0))</f>
        <v/>
      </c>
      <c r="O33" s="32"/>
      <c r="P33" s="36" t="str">
        <f aca="true">IF(OR(N33="",O33="Closed",O33="Done - to verify"),"",N33-TODAY())</f>
        <v/>
      </c>
      <c r="Q33" s="37" t="str">
        <f aca="true">IF(C33="","",IF(O33="Closed","Closed",IF(O33="Done - to verify","To verify",IF(O33="On hold","On hold",IF(N33="","Set target",IF(N33&lt;TODAY(),"OVERDUE",IF(N33-TODAY()&lt;=7,"Due soon","On track")))))))</f>
        <v/>
      </c>
      <c r="R33" s="30"/>
      <c r="S33" s="34"/>
      <c r="T33" s="30"/>
      <c r="U33" s="30"/>
      <c r="V33" s="30"/>
      <c r="W33" s="34"/>
      <c r="X33" s="30"/>
    </row>
    <row r="34" customFormat="false" ht="15" hidden="false" customHeight="false" outlineLevel="0" collapsed="false">
      <c r="A34" s="30"/>
      <c r="B34" s="30"/>
      <c r="C34" s="30"/>
      <c r="D34" s="32"/>
      <c r="E34" s="30"/>
      <c r="F34" s="30"/>
      <c r="G34" s="30"/>
      <c r="H34" s="30"/>
      <c r="I34" s="32"/>
      <c r="J34" s="30"/>
      <c r="K34" s="30"/>
      <c r="L34" s="34"/>
      <c r="M34" s="32"/>
      <c r="N34" s="35" t="str">
        <f aca="false">IF(OR(L34="",M34=""),"",L34+IFERROR(VLOOKUP(M34,Lists!$G$3:$H$20,2,FALSE()),0))</f>
        <v/>
      </c>
      <c r="O34" s="32"/>
      <c r="P34" s="36" t="str">
        <f aca="true">IF(OR(N34="",O34="Closed",O34="Done - to verify"),"",N34-TODAY())</f>
        <v/>
      </c>
      <c r="Q34" s="37" t="str">
        <f aca="true">IF(C34="","",IF(O34="Closed","Closed",IF(O34="Done - to verify","To verify",IF(O34="On hold","On hold",IF(N34="","Set target",IF(N34&lt;TODAY(),"OVERDUE",IF(N34-TODAY()&lt;=7,"Due soon","On track")))))))</f>
        <v/>
      </c>
      <c r="R34" s="30"/>
      <c r="S34" s="34"/>
      <c r="T34" s="30"/>
      <c r="U34" s="30"/>
      <c r="V34" s="30"/>
      <c r="W34" s="34"/>
      <c r="X34" s="30"/>
    </row>
    <row r="35" customFormat="false" ht="15" hidden="false" customHeight="false" outlineLevel="0" collapsed="false">
      <c r="A35" s="30"/>
      <c r="B35" s="30"/>
      <c r="C35" s="30"/>
      <c r="D35" s="32"/>
      <c r="E35" s="30"/>
      <c r="F35" s="30"/>
      <c r="G35" s="30"/>
      <c r="H35" s="30"/>
      <c r="I35" s="32"/>
      <c r="J35" s="30"/>
      <c r="K35" s="30"/>
      <c r="L35" s="34"/>
      <c r="M35" s="32"/>
      <c r="N35" s="35" t="str">
        <f aca="false">IF(OR(L35="",M35=""),"",L35+IFERROR(VLOOKUP(M35,Lists!$G$3:$H$20,2,FALSE()),0))</f>
        <v/>
      </c>
      <c r="O35" s="32"/>
      <c r="P35" s="36" t="str">
        <f aca="true">IF(OR(N35="",O35="Closed",O35="Done - to verify"),"",N35-TODAY())</f>
        <v/>
      </c>
      <c r="Q35" s="37" t="str">
        <f aca="true">IF(C35="","",IF(O35="Closed","Closed",IF(O35="Done - to verify","To verify",IF(O35="On hold","On hold",IF(N35="","Set target",IF(N35&lt;TODAY(),"OVERDUE",IF(N35-TODAY()&lt;=7,"Due soon","On track")))))))</f>
        <v/>
      </c>
      <c r="R35" s="30"/>
      <c r="S35" s="34"/>
      <c r="T35" s="30"/>
      <c r="U35" s="30"/>
      <c r="V35" s="30"/>
      <c r="W35" s="34"/>
      <c r="X35" s="30"/>
    </row>
    <row r="36" customFormat="false" ht="15" hidden="false" customHeight="false" outlineLevel="0" collapsed="false">
      <c r="A36" s="30"/>
      <c r="B36" s="30"/>
      <c r="C36" s="30"/>
      <c r="D36" s="32"/>
      <c r="E36" s="30"/>
      <c r="F36" s="30"/>
      <c r="G36" s="30"/>
      <c r="H36" s="30"/>
      <c r="I36" s="32"/>
      <c r="J36" s="30"/>
      <c r="K36" s="30"/>
      <c r="L36" s="34"/>
      <c r="M36" s="32"/>
      <c r="N36" s="35" t="str">
        <f aca="false">IF(OR(L36="",M36=""),"",L36+IFERROR(VLOOKUP(M36,Lists!$G$3:$H$20,2,FALSE()),0))</f>
        <v/>
      </c>
      <c r="O36" s="32"/>
      <c r="P36" s="36" t="str">
        <f aca="true">IF(OR(N36="",O36="Closed",O36="Done - to verify"),"",N36-TODAY())</f>
        <v/>
      </c>
      <c r="Q36" s="37" t="str">
        <f aca="true">IF(C36="","",IF(O36="Closed","Closed",IF(O36="Done - to verify","To verify",IF(O36="On hold","On hold",IF(N36="","Set target",IF(N36&lt;TODAY(),"OVERDUE",IF(N36-TODAY()&lt;=7,"Due soon","On track")))))))</f>
        <v/>
      </c>
      <c r="R36" s="30"/>
      <c r="S36" s="34"/>
      <c r="T36" s="30"/>
      <c r="U36" s="30"/>
      <c r="V36" s="30"/>
      <c r="W36" s="34"/>
      <c r="X36" s="30"/>
    </row>
    <row r="37" customFormat="false" ht="15" hidden="false" customHeight="false" outlineLevel="0" collapsed="false">
      <c r="A37" s="30"/>
      <c r="B37" s="30"/>
      <c r="C37" s="30"/>
      <c r="D37" s="32"/>
      <c r="E37" s="30"/>
      <c r="F37" s="30"/>
      <c r="G37" s="30"/>
      <c r="H37" s="30"/>
      <c r="I37" s="32"/>
      <c r="J37" s="30"/>
      <c r="K37" s="30"/>
      <c r="L37" s="34"/>
      <c r="M37" s="32"/>
      <c r="N37" s="35" t="str">
        <f aca="false">IF(OR(L37="",M37=""),"",L37+IFERROR(VLOOKUP(M37,Lists!$G$3:$H$20,2,FALSE()),0))</f>
        <v/>
      </c>
      <c r="O37" s="32"/>
      <c r="P37" s="36" t="str">
        <f aca="true">IF(OR(N37="",O37="Closed",O37="Done - to verify"),"",N37-TODAY())</f>
        <v/>
      </c>
      <c r="Q37" s="37" t="str">
        <f aca="true">IF(C37="","",IF(O37="Closed","Closed",IF(O37="Done - to verify","To verify",IF(O37="On hold","On hold",IF(N37="","Set target",IF(N37&lt;TODAY(),"OVERDUE",IF(N37-TODAY()&lt;=7,"Due soon","On track")))))))</f>
        <v/>
      </c>
      <c r="R37" s="30"/>
      <c r="S37" s="34"/>
      <c r="T37" s="30"/>
      <c r="U37" s="30"/>
      <c r="V37" s="30"/>
      <c r="W37" s="34"/>
      <c r="X37" s="30"/>
    </row>
    <row r="38" customFormat="false" ht="15" hidden="false" customHeight="false" outlineLevel="0" collapsed="false">
      <c r="A38" s="30"/>
      <c r="B38" s="30"/>
      <c r="C38" s="30"/>
      <c r="D38" s="32"/>
      <c r="E38" s="30"/>
      <c r="F38" s="30"/>
      <c r="G38" s="30"/>
      <c r="H38" s="30"/>
      <c r="I38" s="32"/>
      <c r="J38" s="30"/>
      <c r="K38" s="30"/>
      <c r="L38" s="34"/>
      <c r="M38" s="32"/>
      <c r="N38" s="35" t="str">
        <f aca="false">IF(OR(L38="",M38=""),"",L38+IFERROR(VLOOKUP(M38,Lists!$G$3:$H$20,2,FALSE()),0))</f>
        <v/>
      </c>
      <c r="O38" s="32"/>
      <c r="P38" s="36" t="str">
        <f aca="true">IF(OR(N38="",O38="Closed",O38="Done - to verify"),"",N38-TODAY())</f>
        <v/>
      </c>
      <c r="Q38" s="37" t="str">
        <f aca="true">IF(C38="","",IF(O38="Closed","Closed",IF(O38="Done - to verify","To verify",IF(O38="On hold","On hold",IF(N38="","Set target",IF(N38&lt;TODAY(),"OVERDUE",IF(N38-TODAY()&lt;=7,"Due soon","On track")))))))</f>
        <v/>
      </c>
      <c r="R38" s="30"/>
      <c r="S38" s="34"/>
      <c r="T38" s="30"/>
      <c r="U38" s="30"/>
      <c r="V38" s="30"/>
      <c r="W38" s="34"/>
      <c r="X38" s="30"/>
    </row>
    <row r="39" customFormat="false" ht="15" hidden="false" customHeight="false" outlineLevel="0" collapsed="false">
      <c r="A39" s="30"/>
      <c r="B39" s="30"/>
      <c r="C39" s="30"/>
      <c r="D39" s="32"/>
      <c r="E39" s="30"/>
      <c r="F39" s="30"/>
      <c r="G39" s="30"/>
      <c r="H39" s="30"/>
      <c r="I39" s="32"/>
      <c r="J39" s="30"/>
      <c r="K39" s="30"/>
      <c r="L39" s="34"/>
      <c r="M39" s="32"/>
      <c r="N39" s="35" t="str">
        <f aca="false">IF(OR(L39="",M39=""),"",L39+IFERROR(VLOOKUP(M39,Lists!$G$3:$H$20,2,FALSE()),0))</f>
        <v/>
      </c>
      <c r="O39" s="32"/>
      <c r="P39" s="36" t="str">
        <f aca="true">IF(OR(N39="",O39="Closed",O39="Done - to verify"),"",N39-TODAY())</f>
        <v/>
      </c>
      <c r="Q39" s="37" t="str">
        <f aca="true">IF(C39="","",IF(O39="Closed","Closed",IF(O39="Done - to verify","To verify",IF(O39="On hold","On hold",IF(N39="","Set target",IF(N39&lt;TODAY(),"OVERDUE",IF(N39-TODAY()&lt;=7,"Due soon","On track")))))))</f>
        <v/>
      </c>
      <c r="R39" s="30"/>
      <c r="S39" s="34"/>
      <c r="T39" s="30"/>
      <c r="U39" s="30"/>
      <c r="V39" s="30"/>
      <c r="W39" s="34"/>
      <c r="X39" s="30"/>
    </row>
    <row r="40" customFormat="false" ht="15" hidden="false" customHeight="false" outlineLevel="0" collapsed="false">
      <c r="A40" s="30"/>
      <c r="B40" s="30"/>
      <c r="C40" s="30"/>
      <c r="D40" s="32"/>
      <c r="E40" s="30"/>
      <c r="F40" s="30"/>
      <c r="G40" s="30"/>
      <c r="H40" s="30"/>
      <c r="I40" s="32"/>
      <c r="J40" s="30"/>
      <c r="K40" s="30"/>
      <c r="L40" s="34"/>
      <c r="M40" s="32"/>
      <c r="N40" s="35" t="str">
        <f aca="false">IF(OR(L40="",M40=""),"",L40+IFERROR(VLOOKUP(M40,Lists!$G$3:$H$20,2,FALSE()),0))</f>
        <v/>
      </c>
      <c r="O40" s="32"/>
      <c r="P40" s="36" t="str">
        <f aca="true">IF(OR(N40="",O40="Closed",O40="Done - to verify"),"",N40-TODAY())</f>
        <v/>
      </c>
      <c r="Q40" s="37" t="str">
        <f aca="true">IF(C40="","",IF(O40="Closed","Closed",IF(O40="Done - to verify","To verify",IF(O40="On hold","On hold",IF(N40="","Set target",IF(N40&lt;TODAY(),"OVERDUE",IF(N40-TODAY()&lt;=7,"Due soon","On track")))))))</f>
        <v/>
      </c>
      <c r="R40" s="30"/>
      <c r="S40" s="34"/>
      <c r="T40" s="30"/>
      <c r="U40" s="30"/>
      <c r="V40" s="30"/>
      <c r="W40" s="34"/>
      <c r="X40" s="30"/>
    </row>
    <row r="41" customFormat="false" ht="15" hidden="false" customHeight="false" outlineLevel="0" collapsed="false">
      <c r="A41" s="30"/>
      <c r="B41" s="30"/>
      <c r="C41" s="30"/>
      <c r="D41" s="32"/>
      <c r="E41" s="30"/>
      <c r="F41" s="30"/>
      <c r="G41" s="30"/>
      <c r="H41" s="30"/>
      <c r="I41" s="32"/>
      <c r="J41" s="30"/>
      <c r="K41" s="30"/>
      <c r="L41" s="34"/>
      <c r="M41" s="32"/>
      <c r="N41" s="35" t="str">
        <f aca="false">IF(OR(L41="",M41=""),"",L41+IFERROR(VLOOKUP(M41,Lists!$G$3:$H$20,2,FALSE()),0))</f>
        <v/>
      </c>
      <c r="O41" s="32"/>
      <c r="P41" s="36" t="str">
        <f aca="true">IF(OR(N41="",O41="Closed",O41="Done - to verify"),"",N41-TODAY())</f>
        <v/>
      </c>
      <c r="Q41" s="37" t="str">
        <f aca="true">IF(C41="","",IF(O41="Closed","Closed",IF(O41="Done - to verify","To verify",IF(O41="On hold","On hold",IF(N41="","Set target",IF(N41&lt;TODAY(),"OVERDUE",IF(N41-TODAY()&lt;=7,"Due soon","On track")))))))</f>
        <v/>
      </c>
      <c r="R41" s="30"/>
      <c r="S41" s="34"/>
      <c r="T41" s="30"/>
      <c r="U41" s="30"/>
      <c r="V41" s="30"/>
      <c r="W41" s="34"/>
      <c r="X41" s="30"/>
    </row>
    <row r="42" customFormat="false" ht="15" hidden="false" customHeight="false" outlineLevel="0" collapsed="false">
      <c r="A42" s="30"/>
      <c r="B42" s="30"/>
      <c r="C42" s="30"/>
      <c r="D42" s="32"/>
      <c r="E42" s="30"/>
      <c r="F42" s="30"/>
      <c r="G42" s="30"/>
      <c r="H42" s="30"/>
      <c r="I42" s="32"/>
      <c r="J42" s="30"/>
      <c r="K42" s="30"/>
      <c r="L42" s="34"/>
      <c r="M42" s="32"/>
      <c r="N42" s="35" t="str">
        <f aca="false">IF(OR(L42="",M42=""),"",L42+IFERROR(VLOOKUP(M42,Lists!$G$3:$H$20,2,FALSE()),0))</f>
        <v/>
      </c>
      <c r="O42" s="32"/>
      <c r="P42" s="36" t="str">
        <f aca="true">IF(OR(N42="",O42="Closed",O42="Done - to verify"),"",N42-TODAY())</f>
        <v/>
      </c>
      <c r="Q42" s="37" t="str">
        <f aca="true">IF(C42="","",IF(O42="Closed","Closed",IF(O42="Done - to verify","To verify",IF(O42="On hold","On hold",IF(N42="","Set target",IF(N42&lt;TODAY(),"OVERDUE",IF(N42-TODAY()&lt;=7,"Due soon","On track")))))))</f>
        <v/>
      </c>
      <c r="R42" s="30"/>
      <c r="S42" s="34"/>
      <c r="T42" s="30"/>
      <c r="U42" s="30"/>
      <c r="V42" s="30"/>
      <c r="W42" s="34"/>
      <c r="X42" s="30"/>
    </row>
    <row r="43" customFormat="false" ht="15" hidden="false" customHeight="false" outlineLevel="0" collapsed="false">
      <c r="A43" s="30"/>
      <c r="B43" s="30"/>
      <c r="C43" s="30"/>
      <c r="D43" s="32"/>
      <c r="E43" s="30"/>
      <c r="F43" s="30"/>
      <c r="G43" s="30"/>
      <c r="H43" s="30"/>
      <c r="I43" s="32"/>
      <c r="J43" s="30"/>
      <c r="K43" s="30"/>
      <c r="L43" s="34"/>
      <c r="M43" s="32"/>
      <c r="N43" s="35" t="str">
        <f aca="false">IF(OR(L43="",M43=""),"",L43+IFERROR(VLOOKUP(M43,Lists!$G$3:$H$20,2,FALSE()),0))</f>
        <v/>
      </c>
      <c r="O43" s="32"/>
      <c r="P43" s="36" t="str">
        <f aca="true">IF(OR(N43="",O43="Closed",O43="Done - to verify"),"",N43-TODAY())</f>
        <v/>
      </c>
      <c r="Q43" s="37" t="str">
        <f aca="true">IF(C43="","",IF(O43="Closed","Closed",IF(O43="Done - to verify","To verify",IF(O43="On hold","On hold",IF(N43="","Set target",IF(N43&lt;TODAY(),"OVERDUE",IF(N43-TODAY()&lt;=7,"Due soon","On track")))))))</f>
        <v/>
      </c>
      <c r="R43" s="30"/>
      <c r="S43" s="34"/>
      <c r="T43" s="30"/>
      <c r="U43" s="30"/>
      <c r="V43" s="30"/>
      <c r="W43" s="34"/>
      <c r="X43" s="30"/>
    </row>
    <row r="44" customFormat="false" ht="15" hidden="false" customHeight="false" outlineLevel="0" collapsed="false">
      <c r="A44" s="30"/>
      <c r="B44" s="30"/>
      <c r="C44" s="30"/>
      <c r="D44" s="32"/>
      <c r="E44" s="30"/>
      <c r="F44" s="30"/>
      <c r="G44" s="30"/>
      <c r="H44" s="30"/>
      <c r="I44" s="32"/>
      <c r="J44" s="30"/>
      <c r="K44" s="30"/>
      <c r="L44" s="34"/>
      <c r="M44" s="32"/>
      <c r="N44" s="35" t="str">
        <f aca="false">IF(OR(L44="",M44=""),"",L44+IFERROR(VLOOKUP(M44,Lists!$G$3:$H$20,2,FALSE()),0))</f>
        <v/>
      </c>
      <c r="O44" s="32"/>
      <c r="P44" s="36" t="str">
        <f aca="true">IF(OR(N44="",O44="Closed",O44="Done - to verify"),"",N44-TODAY())</f>
        <v/>
      </c>
      <c r="Q44" s="37" t="str">
        <f aca="true">IF(C44="","",IF(O44="Closed","Closed",IF(O44="Done - to verify","To verify",IF(O44="On hold","On hold",IF(N44="","Set target",IF(N44&lt;TODAY(),"OVERDUE",IF(N44-TODAY()&lt;=7,"Due soon","On track")))))))</f>
        <v/>
      </c>
      <c r="R44" s="30"/>
      <c r="S44" s="34"/>
      <c r="T44" s="30"/>
      <c r="U44" s="30"/>
      <c r="V44" s="30"/>
      <c r="W44" s="34"/>
      <c r="X44" s="30"/>
    </row>
    <row r="45" customFormat="false" ht="15" hidden="false" customHeight="false" outlineLevel="0" collapsed="false">
      <c r="A45" s="30"/>
      <c r="B45" s="30"/>
      <c r="C45" s="30"/>
      <c r="D45" s="32"/>
      <c r="E45" s="30"/>
      <c r="F45" s="30"/>
      <c r="G45" s="30"/>
      <c r="H45" s="30"/>
      <c r="I45" s="32"/>
      <c r="J45" s="30"/>
      <c r="K45" s="30"/>
      <c r="L45" s="34"/>
      <c r="M45" s="32"/>
      <c r="N45" s="35" t="str">
        <f aca="false">IF(OR(L45="",M45=""),"",L45+IFERROR(VLOOKUP(M45,Lists!$G$3:$H$20,2,FALSE()),0))</f>
        <v/>
      </c>
      <c r="O45" s="32"/>
      <c r="P45" s="36" t="str">
        <f aca="true">IF(OR(N45="",O45="Closed",O45="Done - to verify"),"",N45-TODAY())</f>
        <v/>
      </c>
      <c r="Q45" s="37" t="str">
        <f aca="true">IF(C45="","",IF(O45="Closed","Closed",IF(O45="Done - to verify","To verify",IF(O45="On hold","On hold",IF(N45="","Set target",IF(N45&lt;TODAY(),"OVERDUE",IF(N45-TODAY()&lt;=7,"Due soon","On track")))))))</f>
        <v/>
      </c>
      <c r="R45" s="30"/>
      <c r="S45" s="34"/>
      <c r="T45" s="30"/>
      <c r="U45" s="30"/>
      <c r="V45" s="30"/>
      <c r="W45" s="34"/>
      <c r="X45" s="30"/>
    </row>
    <row r="46" customFormat="false" ht="15" hidden="false" customHeight="false" outlineLevel="0" collapsed="false">
      <c r="A46" s="30"/>
      <c r="B46" s="30"/>
      <c r="C46" s="30"/>
      <c r="D46" s="32"/>
      <c r="E46" s="30"/>
      <c r="F46" s="30"/>
      <c r="G46" s="30"/>
      <c r="H46" s="30"/>
      <c r="I46" s="32"/>
      <c r="J46" s="30"/>
      <c r="K46" s="30"/>
      <c r="L46" s="34"/>
      <c r="M46" s="32"/>
      <c r="N46" s="35" t="str">
        <f aca="false">IF(OR(L46="",M46=""),"",L46+IFERROR(VLOOKUP(M46,Lists!$G$3:$H$20,2,FALSE()),0))</f>
        <v/>
      </c>
      <c r="O46" s="32"/>
      <c r="P46" s="36" t="str">
        <f aca="true">IF(OR(N46="",O46="Closed",O46="Done - to verify"),"",N46-TODAY())</f>
        <v/>
      </c>
      <c r="Q46" s="37" t="str">
        <f aca="true">IF(C46="","",IF(O46="Closed","Closed",IF(O46="Done - to verify","To verify",IF(O46="On hold","On hold",IF(N46="","Set target",IF(N46&lt;TODAY(),"OVERDUE",IF(N46-TODAY()&lt;=7,"Due soon","On track")))))))</f>
        <v/>
      </c>
      <c r="R46" s="30"/>
      <c r="S46" s="34"/>
      <c r="T46" s="30"/>
      <c r="U46" s="30"/>
      <c r="V46" s="30"/>
      <c r="W46" s="34"/>
      <c r="X46" s="30"/>
    </row>
    <row r="47" customFormat="false" ht="15" hidden="false" customHeight="false" outlineLevel="0" collapsed="false">
      <c r="A47" s="30"/>
      <c r="B47" s="30"/>
      <c r="C47" s="30"/>
      <c r="D47" s="32"/>
      <c r="E47" s="30"/>
      <c r="F47" s="30"/>
      <c r="G47" s="30"/>
      <c r="H47" s="30"/>
      <c r="I47" s="32"/>
      <c r="J47" s="30"/>
      <c r="K47" s="30"/>
      <c r="L47" s="34"/>
      <c r="M47" s="32"/>
      <c r="N47" s="35" t="str">
        <f aca="false">IF(OR(L47="",M47=""),"",L47+IFERROR(VLOOKUP(M47,Lists!$G$3:$H$20,2,FALSE()),0))</f>
        <v/>
      </c>
      <c r="O47" s="32"/>
      <c r="P47" s="36" t="str">
        <f aca="true">IF(OR(N47="",O47="Closed",O47="Done - to verify"),"",N47-TODAY())</f>
        <v/>
      </c>
      <c r="Q47" s="37" t="str">
        <f aca="true">IF(C47="","",IF(O47="Closed","Closed",IF(O47="Done - to verify","To verify",IF(O47="On hold","On hold",IF(N47="","Set target",IF(N47&lt;TODAY(),"OVERDUE",IF(N47-TODAY()&lt;=7,"Due soon","On track")))))))</f>
        <v/>
      </c>
      <c r="R47" s="30"/>
      <c r="S47" s="34"/>
      <c r="T47" s="30"/>
      <c r="U47" s="30"/>
      <c r="V47" s="30"/>
      <c r="W47" s="34"/>
      <c r="X47" s="30"/>
    </row>
    <row r="48" customFormat="false" ht="15" hidden="false" customHeight="false" outlineLevel="0" collapsed="false">
      <c r="A48" s="30"/>
      <c r="B48" s="30"/>
      <c r="C48" s="30"/>
      <c r="D48" s="32"/>
      <c r="E48" s="30"/>
      <c r="F48" s="30"/>
      <c r="G48" s="30"/>
      <c r="H48" s="30"/>
      <c r="I48" s="32"/>
      <c r="J48" s="30"/>
      <c r="K48" s="30"/>
      <c r="L48" s="34"/>
      <c r="M48" s="32"/>
      <c r="N48" s="35" t="str">
        <f aca="false">IF(OR(L48="",M48=""),"",L48+IFERROR(VLOOKUP(M48,Lists!$G$3:$H$20,2,FALSE()),0))</f>
        <v/>
      </c>
      <c r="O48" s="32"/>
      <c r="P48" s="36" t="str">
        <f aca="true">IF(OR(N48="",O48="Closed",O48="Done - to verify"),"",N48-TODAY())</f>
        <v/>
      </c>
      <c r="Q48" s="37" t="str">
        <f aca="true">IF(C48="","",IF(O48="Closed","Closed",IF(O48="Done - to verify","To verify",IF(O48="On hold","On hold",IF(N48="","Set target",IF(N48&lt;TODAY(),"OVERDUE",IF(N48-TODAY()&lt;=7,"Due soon","On track")))))))</f>
        <v/>
      </c>
      <c r="R48" s="30"/>
      <c r="S48" s="34"/>
      <c r="T48" s="30"/>
      <c r="U48" s="30"/>
      <c r="V48" s="30"/>
      <c r="W48" s="34"/>
      <c r="X48" s="30"/>
    </row>
    <row r="49" customFormat="false" ht="15" hidden="false" customHeight="false" outlineLevel="0" collapsed="false">
      <c r="A49" s="30"/>
      <c r="B49" s="30"/>
      <c r="C49" s="30"/>
      <c r="D49" s="32"/>
      <c r="E49" s="30"/>
      <c r="F49" s="30"/>
      <c r="G49" s="30"/>
      <c r="H49" s="30"/>
      <c r="I49" s="32"/>
      <c r="J49" s="30"/>
      <c r="K49" s="30"/>
      <c r="L49" s="34"/>
      <c r="M49" s="32"/>
      <c r="N49" s="35" t="str">
        <f aca="false">IF(OR(L49="",M49=""),"",L49+IFERROR(VLOOKUP(M49,Lists!$G$3:$H$20,2,FALSE()),0))</f>
        <v/>
      </c>
      <c r="O49" s="32"/>
      <c r="P49" s="36" t="str">
        <f aca="true">IF(OR(N49="",O49="Closed",O49="Done - to verify"),"",N49-TODAY())</f>
        <v/>
      </c>
      <c r="Q49" s="37" t="str">
        <f aca="true">IF(C49="","",IF(O49="Closed","Closed",IF(O49="Done - to verify","To verify",IF(O49="On hold","On hold",IF(N49="","Set target",IF(N49&lt;TODAY(),"OVERDUE",IF(N49-TODAY()&lt;=7,"Due soon","On track")))))))</f>
        <v/>
      </c>
      <c r="R49" s="30"/>
      <c r="S49" s="34"/>
      <c r="T49" s="30"/>
      <c r="U49" s="30"/>
      <c r="V49" s="30"/>
      <c r="W49" s="34"/>
      <c r="X49" s="30"/>
    </row>
    <row r="50" customFormat="false" ht="15" hidden="false" customHeight="false" outlineLevel="0" collapsed="false">
      <c r="A50" s="30"/>
      <c r="B50" s="30"/>
      <c r="C50" s="30"/>
      <c r="D50" s="32"/>
      <c r="E50" s="30"/>
      <c r="F50" s="30"/>
      <c r="G50" s="30"/>
      <c r="H50" s="30"/>
      <c r="I50" s="32"/>
      <c r="J50" s="30"/>
      <c r="K50" s="30"/>
      <c r="L50" s="34"/>
      <c r="M50" s="32"/>
      <c r="N50" s="35" t="str">
        <f aca="false">IF(OR(L50="",M50=""),"",L50+IFERROR(VLOOKUP(M50,Lists!$G$3:$H$20,2,FALSE()),0))</f>
        <v/>
      </c>
      <c r="O50" s="32"/>
      <c r="P50" s="36" t="str">
        <f aca="true">IF(OR(N50="",O50="Closed",O50="Done - to verify"),"",N50-TODAY())</f>
        <v/>
      </c>
      <c r="Q50" s="37" t="str">
        <f aca="true">IF(C50="","",IF(O50="Closed","Closed",IF(O50="Done - to verify","To verify",IF(O50="On hold","On hold",IF(N50="","Set target",IF(N50&lt;TODAY(),"OVERDUE",IF(N50-TODAY()&lt;=7,"Due soon","On track")))))))</f>
        <v/>
      </c>
      <c r="R50" s="30"/>
      <c r="S50" s="34"/>
      <c r="T50" s="30"/>
      <c r="U50" s="30"/>
      <c r="V50" s="30"/>
      <c r="W50" s="34"/>
      <c r="X50" s="30"/>
    </row>
    <row r="51" customFormat="false" ht="15" hidden="false" customHeight="false" outlineLevel="0" collapsed="false">
      <c r="A51" s="30"/>
      <c r="B51" s="30"/>
      <c r="C51" s="30"/>
      <c r="D51" s="32"/>
      <c r="E51" s="30"/>
      <c r="F51" s="30"/>
      <c r="G51" s="30"/>
      <c r="H51" s="30"/>
      <c r="I51" s="32"/>
      <c r="J51" s="30"/>
      <c r="K51" s="30"/>
      <c r="L51" s="34"/>
      <c r="M51" s="32"/>
      <c r="N51" s="35" t="str">
        <f aca="false">IF(OR(L51="",M51=""),"",L51+IFERROR(VLOOKUP(M51,Lists!$G$3:$H$20,2,FALSE()),0))</f>
        <v/>
      </c>
      <c r="O51" s="32"/>
      <c r="P51" s="36" t="str">
        <f aca="true">IF(OR(N51="",O51="Closed",O51="Done - to verify"),"",N51-TODAY())</f>
        <v/>
      </c>
      <c r="Q51" s="37" t="str">
        <f aca="true">IF(C51="","",IF(O51="Closed","Closed",IF(O51="Done - to verify","To verify",IF(O51="On hold","On hold",IF(N51="","Set target",IF(N51&lt;TODAY(),"OVERDUE",IF(N51-TODAY()&lt;=7,"Due soon","On track")))))))</f>
        <v/>
      </c>
      <c r="R51" s="30"/>
      <c r="S51" s="34"/>
      <c r="T51" s="30"/>
      <c r="U51" s="30"/>
      <c r="V51" s="30"/>
      <c r="W51" s="34"/>
      <c r="X51" s="30"/>
    </row>
    <row r="52" customFormat="false" ht="15" hidden="false" customHeight="false" outlineLevel="0" collapsed="false">
      <c r="A52" s="30"/>
      <c r="B52" s="30"/>
      <c r="C52" s="30"/>
      <c r="D52" s="32"/>
      <c r="E52" s="30"/>
      <c r="F52" s="30"/>
      <c r="G52" s="30"/>
      <c r="H52" s="30"/>
      <c r="I52" s="32"/>
      <c r="J52" s="30"/>
      <c r="K52" s="30"/>
      <c r="L52" s="34"/>
      <c r="M52" s="32"/>
      <c r="N52" s="35" t="str">
        <f aca="false">IF(OR(L52="",M52=""),"",L52+IFERROR(VLOOKUP(M52,Lists!$G$3:$H$20,2,FALSE()),0))</f>
        <v/>
      </c>
      <c r="O52" s="32"/>
      <c r="P52" s="36" t="str">
        <f aca="true">IF(OR(N52="",O52="Closed",O52="Done - to verify"),"",N52-TODAY())</f>
        <v/>
      </c>
      <c r="Q52" s="37" t="str">
        <f aca="true">IF(C52="","",IF(O52="Closed","Closed",IF(O52="Done - to verify","To verify",IF(O52="On hold","On hold",IF(N52="","Set target",IF(N52&lt;TODAY(),"OVERDUE",IF(N52-TODAY()&lt;=7,"Due soon","On track")))))))</f>
        <v/>
      </c>
      <c r="R52" s="30"/>
      <c r="S52" s="34"/>
      <c r="T52" s="30"/>
      <c r="U52" s="30"/>
      <c r="V52" s="30"/>
      <c r="W52" s="34"/>
      <c r="X52" s="30"/>
    </row>
    <row r="53" customFormat="false" ht="15" hidden="false" customHeight="false" outlineLevel="0" collapsed="false">
      <c r="A53" s="30"/>
      <c r="B53" s="30"/>
      <c r="C53" s="30"/>
      <c r="D53" s="32"/>
      <c r="E53" s="30"/>
      <c r="F53" s="30"/>
      <c r="G53" s="30"/>
      <c r="H53" s="30"/>
      <c r="I53" s="32"/>
      <c r="J53" s="30"/>
      <c r="K53" s="30"/>
      <c r="L53" s="34"/>
      <c r="M53" s="32"/>
      <c r="N53" s="35" t="str">
        <f aca="false">IF(OR(L53="",M53=""),"",L53+IFERROR(VLOOKUP(M53,Lists!$G$3:$H$20,2,FALSE()),0))</f>
        <v/>
      </c>
      <c r="O53" s="32"/>
      <c r="P53" s="36" t="str">
        <f aca="true">IF(OR(N53="",O53="Closed",O53="Done - to verify"),"",N53-TODAY())</f>
        <v/>
      </c>
      <c r="Q53" s="37" t="str">
        <f aca="true">IF(C53="","",IF(O53="Closed","Closed",IF(O53="Done - to verify","To verify",IF(O53="On hold","On hold",IF(N53="","Set target",IF(N53&lt;TODAY(),"OVERDUE",IF(N53-TODAY()&lt;=7,"Due soon","On track")))))))</f>
        <v/>
      </c>
      <c r="R53" s="30"/>
      <c r="S53" s="34"/>
      <c r="T53" s="30"/>
      <c r="U53" s="30"/>
      <c r="V53" s="30"/>
      <c r="W53" s="34"/>
      <c r="X53" s="30"/>
    </row>
    <row r="54" customFormat="false" ht="15" hidden="false" customHeight="false" outlineLevel="0" collapsed="false">
      <c r="A54" s="30"/>
      <c r="B54" s="30"/>
      <c r="C54" s="30"/>
      <c r="D54" s="32"/>
      <c r="E54" s="30"/>
      <c r="F54" s="30"/>
      <c r="G54" s="30"/>
      <c r="H54" s="30"/>
      <c r="I54" s="32"/>
      <c r="J54" s="30"/>
      <c r="K54" s="30"/>
      <c r="L54" s="34"/>
      <c r="M54" s="32"/>
      <c r="N54" s="35" t="str">
        <f aca="false">IF(OR(L54="",M54=""),"",L54+IFERROR(VLOOKUP(M54,Lists!$G$3:$H$20,2,FALSE()),0))</f>
        <v/>
      </c>
      <c r="O54" s="32"/>
      <c r="P54" s="36" t="str">
        <f aca="true">IF(OR(N54="",O54="Closed",O54="Done - to verify"),"",N54-TODAY())</f>
        <v/>
      </c>
      <c r="Q54" s="37" t="str">
        <f aca="true">IF(C54="","",IF(O54="Closed","Closed",IF(O54="Done - to verify","To verify",IF(O54="On hold","On hold",IF(N54="","Set target",IF(N54&lt;TODAY(),"OVERDUE",IF(N54-TODAY()&lt;=7,"Due soon","On track")))))))</f>
        <v/>
      </c>
      <c r="R54" s="30"/>
      <c r="S54" s="34"/>
      <c r="T54" s="30"/>
      <c r="U54" s="30"/>
      <c r="V54" s="30"/>
      <c r="W54" s="34"/>
      <c r="X54" s="30"/>
    </row>
    <row r="55" customFormat="false" ht="15" hidden="false" customHeight="false" outlineLevel="0" collapsed="false">
      <c r="A55" s="30"/>
      <c r="B55" s="30"/>
      <c r="C55" s="30"/>
      <c r="D55" s="32"/>
      <c r="E55" s="30"/>
      <c r="F55" s="30"/>
      <c r="G55" s="30"/>
      <c r="H55" s="30"/>
      <c r="I55" s="32"/>
      <c r="J55" s="30"/>
      <c r="K55" s="30"/>
      <c r="L55" s="34"/>
      <c r="M55" s="32"/>
      <c r="N55" s="35" t="str">
        <f aca="false">IF(OR(L55="",M55=""),"",L55+IFERROR(VLOOKUP(M55,Lists!$G$3:$H$20,2,FALSE()),0))</f>
        <v/>
      </c>
      <c r="O55" s="32"/>
      <c r="P55" s="36" t="str">
        <f aca="true">IF(OR(N55="",O55="Closed",O55="Done - to verify"),"",N55-TODAY())</f>
        <v/>
      </c>
      <c r="Q55" s="37" t="str">
        <f aca="true">IF(C55="","",IF(O55="Closed","Closed",IF(O55="Done - to verify","To verify",IF(O55="On hold","On hold",IF(N55="","Set target",IF(N55&lt;TODAY(),"OVERDUE",IF(N55-TODAY()&lt;=7,"Due soon","On track")))))))</f>
        <v/>
      </c>
      <c r="R55" s="30"/>
      <c r="S55" s="34"/>
      <c r="T55" s="30"/>
      <c r="U55" s="30"/>
      <c r="V55" s="30"/>
      <c r="W55" s="34"/>
      <c r="X55" s="30"/>
    </row>
    <row r="56" customFormat="false" ht="15" hidden="false" customHeight="false" outlineLevel="0" collapsed="false">
      <c r="A56" s="30"/>
      <c r="B56" s="30"/>
      <c r="C56" s="30"/>
      <c r="D56" s="32"/>
      <c r="E56" s="30"/>
      <c r="F56" s="30"/>
      <c r="G56" s="30"/>
      <c r="H56" s="30"/>
      <c r="I56" s="32"/>
      <c r="J56" s="30"/>
      <c r="K56" s="30"/>
      <c r="L56" s="34"/>
      <c r="M56" s="32"/>
      <c r="N56" s="35" t="str">
        <f aca="false">IF(OR(L56="",M56=""),"",L56+IFERROR(VLOOKUP(M56,Lists!$G$3:$H$20,2,FALSE()),0))</f>
        <v/>
      </c>
      <c r="O56" s="32"/>
      <c r="P56" s="36" t="str">
        <f aca="true">IF(OR(N56="",O56="Closed",O56="Done - to verify"),"",N56-TODAY())</f>
        <v/>
      </c>
      <c r="Q56" s="37" t="str">
        <f aca="true">IF(C56="","",IF(O56="Closed","Closed",IF(O56="Done - to verify","To verify",IF(O56="On hold","On hold",IF(N56="","Set target",IF(N56&lt;TODAY(),"OVERDUE",IF(N56-TODAY()&lt;=7,"Due soon","On track")))))))</f>
        <v/>
      </c>
      <c r="R56" s="30"/>
      <c r="S56" s="34"/>
      <c r="T56" s="30"/>
      <c r="U56" s="30"/>
      <c r="V56" s="30"/>
      <c r="W56" s="34"/>
      <c r="X56" s="30"/>
    </row>
    <row r="57" customFormat="false" ht="15" hidden="false" customHeight="false" outlineLevel="0" collapsed="false">
      <c r="A57" s="30"/>
      <c r="B57" s="30"/>
      <c r="C57" s="30"/>
      <c r="D57" s="32"/>
      <c r="E57" s="30"/>
      <c r="F57" s="30"/>
      <c r="G57" s="30"/>
      <c r="H57" s="30"/>
      <c r="I57" s="32"/>
      <c r="J57" s="30"/>
      <c r="K57" s="30"/>
      <c r="L57" s="34"/>
      <c r="M57" s="32"/>
      <c r="N57" s="35" t="str">
        <f aca="false">IF(OR(L57="",M57=""),"",L57+IFERROR(VLOOKUP(M57,Lists!$G$3:$H$20,2,FALSE()),0))</f>
        <v/>
      </c>
      <c r="O57" s="32"/>
      <c r="P57" s="36" t="str">
        <f aca="true">IF(OR(N57="",O57="Closed",O57="Done - to verify"),"",N57-TODAY())</f>
        <v/>
      </c>
      <c r="Q57" s="37" t="str">
        <f aca="true">IF(C57="","",IF(O57="Closed","Closed",IF(O57="Done - to verify","To verify",IF(O57="On hold","On hold",IF(N57="","Set target",IF(N57&lt;TODAY(),"OVERDUE",IF(N57-TODAY()&lt;=7,"Due soon","On track")))))))</f>
        <v/>
      </c>
      <c r="R57" s="30"/>
      <c r="S57" s="34"/>
      <c r="T57" s="30"/>
      <c r="U57" s="30"/>
      <c r="V57" s="30"/>
      <c r="W57" s="34"/>
      <c r="X57" s="30"/>
    </row>
    <row r="58" customFormat="false" ht="15" hidden="false" customHeight="false" outlineLevel="0" collapsed="false">
      <c r="A58" s="30"/>
      <c r="B58" s="30"/>
      <c r="C58" s="30"/>
      <c r="D58" s="32"/>
      <c r="E58" s="30"/>
      <c r="F58" s="30"/>
      <c r="G58" s="30"/>
      <c r="H58" s="30"/>
      <c r="I58" s="32"/>
      <c r="J58" s="30"/>
      <c r="K58" s="30"/>
      <c r="L58" s="34"/>
      <c r="M58" s="32"/>
      <c r="N58" s="35" t="str">
        <f aca="false">IF(OR(L58="",M58=""),"",L58+IFERROR(VLOOKUP(M58,Lists!$G$3:$H$20,2,FALSE()),0))</f>
        <v/>
      </c>
      <c r="O58" s="32"/>
      <c r="P58" s="36" t="str">
        <f aca="true">IF(OR(N58="",O58="Closed",O58="Done - to verify"),"",N58-TODAY())</f>
        <v/>
      </c>
      <c r="Q58" s="37" t="str">
        <f aca="true">IF(C58="","",IF(O58="Closed","Closed",IF(O58="Done - to verify","To verify",IF(O58="On hold","On hold",IF(N58="","Set target",IF(N58&lt;TODAY(),"OVERDUE",IF(N58-TODAY()&lt;=7,"Due soon","On track")))))))</f>
        <v/>
      </c>
      <c r="R58" s="30"/>
      <c r="S58" s="34"/>
      <c r="T58" s="30"/>
      <c r="U58" s="30"/>
      <c r="V58" s="30"/>
      <c r="W58" s="34"/>
      <c r="X58" s="30"/>
    </row>
    <row r="59" customFormat="false" ht="15" hidden="false" customHeight="false" outlineLevel="0" collapsed="false">
      <c r="A59" s="30"/>
      <c r="B59" s="30"/>
      <c r="C59" s="30"/>
      <c r="D59" s="32"/>
      <c r="E59" s="30"/>
      <c r="F59" s="30"/>
      <c r="G59" s="30"/>
      <c r="H59" s="30"/>
      <c r="I59" s="32"/>
      <c r="J59" s="30"/>
      <c r="K59" s="30"/>
      <c r="L59" s="34"/>
      <c r="M59" s="32"/>
      <c r="N59" s="35" t="str">
        <f aca="false">IF(OR(L59="",M59=""),"",L59+IFERROR(VLOOKUP(M59,Lists!$G$3:$H$20,2,FALSE()),0))</f>
        <v/>
      </c>
      <c r="O59" s="32"/>
      <c r="P59" s="36" t="str">
        <f aca="true">IF(OR(N59="",O59="Closed",O59="Done - to verify"),"",N59-TODAY())</f>
        <v/>
      </c>
      <c r="Q59" s="37" t="str">
        <f aca="true">IF(C59="","",IF(O59="Closed","Closed",IF(O59="Done - to verify","To verify",IF(O59="On hold","On hold",IF(N59="","Set target",IF(N59&lt;TODAY(),"OVERDUE",IF(N59-TODAY()&lt;=7,"Due soon","On track")))))))</f>
        <v/>
      </c>
      <c r="R59" s="30"/>
      <c r="S59" s="34"/>
      <c r="T59" s="30"/>
      <c r="U59" s="30"/>
      <c r="V59" s="30"/>
      <c r="W59" s="34"/>
      <c r="X59" s="30"/>
    </row>
    <row r="60" customFormat="false" ht="15" hidden="false" customHeight="false" outlineLevel="0" collapsed="false">
      <c r="A60" s="30"/>
      <c r="B60" s="30"/>
      <c r="C60" s="30"/>
      <c r="D60" s="32"/>
      <c r="E60" s="30"/>
      <c r="F60" s="30"/>
      <c r="G60" s="30"/>
      <c r="H60" s="30"/>
      <c r="I60" s="32"/>
      <c r="J60" s="30"/>
      <c r="K60" s="30"/>
      <c r="L60" s="34"/>
      <c r="M60" s="32"/>
      <c r="N60" s="35" t="str">
        <f aca="false">IF(OR(L60="",M60=""),"",L60+IFERROR(VLOOKUP(M60,Lists!$G$3:$H$20,2,FALSE()),0))</f>
        <v/>
      </c>
      <c r="O60" s="32"/>
      <c r="P60" s="36" t="str">
        <f aca="true">IF(OR(N60="",O60="Closed",O60="Done - to verify"),"",N60-TODAY())</f>
        <v/>
      </c>
      <c r="Q60" s="37" t="str">
        <f aca="true">IF(C60="","",IF(O60="Closed","Closed",IF(O60="Done - to verify","To verify",IF(O60="On hold","On hold",IF(N60="","Set target",IF(N60&lt;TODAY(),"OVERDUE",IF(N60-TODAY()&lt;=7,"Due soon","On track")))))))</f>
        <v/>
      </c>
      <c r="R60" s="30"/>
      <c r="S60" s="34"/>
      <c r="T60" s="30"/>
      <c r="U60" s="30"/>
      <c r="V60" s="30"/>
      <c r="W60" s="34"/>
      <c r="X60" s="30"/>
    </row>
    <row r="61" customFormat="false" ht="15" hidden="false" customHeight="false" outlineLevel="0" collapsed="false">
      <c r="A61" s="30"/>
      <c r="B61" s="30"/>
      <c r="C61" s="30"/>
      <c r="D61" s="32"/>
      <c r="E61" s="30"/>
      <c r="F61" s="30"/>
      <c r="G61" s="30"/>
      <c r="H61" s="30"/>
      <c r="I61" s="32"/>
      <c r="J61" s="30"/>
      <c r="K61" s="30"/>
      <c r="L61" s="34"/>
      <c r="M61" s="32"/>
      <c r="N61" s="35" t="str">
        <f aca="false">IF(OR(L61="",M61=""),"",L61+IFERROR(VLOOKUP(M61,Lists!$G$3:$H$20,2,FALSE()),0))</f>
        <v/>
      </c>
      <c r="O61" s="32"/>
      <c r="P61" s="36" t="str">
        <f aca="true">IF(OR(N61="",O61="Closed",O61="Done - to verify"),"",N61-TODAY())</f>
        <v/>
      </c>
      <c r="Q61" s="37" t="str">
        <f aca="true">IF(C61="","",IF(O61="Closed","Closed",IF(O61="Done - to verify","To verify",IF(O61="On hold","On hold",IF(N61="","Set target",IF(N61&lt;TODAY(),"OVERDUE",IF(N61-TODAY()&lt;=7,"Due soon","On track")))))))</f>
        <v/>
      </c>
      <c r="R61" s="30"/>
      <c r="S61" s="34"/>
      <c r="T61" s="30"/>
      <c r="U61" s="30"/>
      <c r="V61" s="30"/>
      <c r="W61" s="34"/>
      <c r="X61" s="30"/>
    </row>
    <row r="62" customFormat="false" ht="15" hidden="false" customHeight="false" outlineLevel="0" collapsed="false">
      <c r="A62" s="30"/>
      <c r="B62" s="30"/>
      <c r="C62" s="30"/>
      <c r="D62" s="32"/>
      <c r="E62" s="30"/>
      <c r="F62" s="30"/>
      <c r="G62" s="30"/>
      <c r="H62" s="30"/>
      <c r="I62" s="32"/>
      <c r="J62" s="30"/>
      <c r="K62" s="30"/>
      <c r="L62" s="34"/>
      <c r="M62" s="32"/>
      <c r="N62" s="35" t="str">
        <f aca="false">IF(OR(L62="",M62=""),"",L62+IFERROR(VLOOKUP(M62,Lists!$G$3:$H$20,2,FALSE()),0))</f>
        <v/>
      </c>
      <c r="O62" s="32"/>
      <c r="P62" s="36" t="str">
        <f aca="true">IF(OR(N62="",O62="Closed",O62="Done - to verify"),"",N62-TODAY())</f>
        <v/>
      </c>
      <c r="Q62" s="37" t="str">
        <f aca="true">IF(C62="","",IF(O62="Closed","Closed",IF(O62="Done - to verify","To verify",IF(O62="On hold","On hold",IF(N62="","Set target",IF(N62&lt;TODAY(),"OVERDUE",IF(N62-TODAY()&lt;=7,"Due soon","On track")))))))</f>
        <v/>
      </c>
      <c r="R62" s="30"/>
      <c r="S62" s="34"/>
      <c r="T62" s="30"/>
      <c r="U62" s="30"/>
      <c r="V62" s="30"/>
      <c r="W62" s="34"/>
      <c r="X62" s="30"/>
    </row>
    <row r="63" customFormat="false" ht="15" hidden="false" customHeight="false" outlineLevel="0" collapsed="false">
      <c r="A63" s="30"/>
      <c r="B63" s="30"/>
      <c r="C63" s="30"/>
      <c r="D63" s="32"/>
      <c r="E63" s="30"/>
      <c r="F63" s="30"/>
      <c r="G63" s="30"/>
      <c r="H63" s="30"/>
      <c r="I63" s="32"/>
      <c r="J63" s="30"/>
      <c r="K63" s="30"/>
      <c r="L63" s="34"/>
      <c r="M63" s="32"/>
      <c r="N63" s="35" t="str">
        <f aca="false">IF(OR(L63="",M63=""),"",L63+IFERROR(VLOOKUP(M63,Lists!$G$3:$H$20,2,FALSE()),0))</f>
        <v/>
      </c>
      <c r="O63" s="32"/>
      <c r="P63" s="36" t="str">
        <f aca="true">IF(OR(N63="",O63="Closed",O63="Done - to verify"),"",N63-TODAY())</f>
        <v/>
      </c>
      <c r="Q63" s="37" t="str">
        <f aca="true">IF(C63="","",IF(O63="Closed","Closed",IF(O63="Done - to verify","To verify",IF(O63="On hold","On hold",IF(N63="","Set target",IF(N63&lt;TODAY(),"OVERDUE",IF(N63-TODAY()&lt;=7,"Due soon","On track")))))))</f>
        <v/>
      </c>
      <c r="R63" s="30"/>
      <c r="S63" s="34"/>
      <c r="T63" s="30"/>
      <c r="U63" s="30"/>
      <c r="V63" s="30"/>
      <c r="W63" s="34"/>
      <c r="X63" s="30"/>
    </row>
    <row r="64" customFormat="false" ht="15" hidden="false" customHeight="false" outlineLevel="0" collapsed="false">
      <c r="A64" s="30"/>
      <c r="B64" s="30"/>
      <c r="C64" s="30"/>
      <c r="D64" s="32"/>
      <c r="E64" s="30"/>
      <c r="F64" s="30"/>
      <c r="G64" s="30"/>
      <c r="H64" s="30"/>
      <c r="I64" s="32"/>
      <c r="J64" s="30"/>
      <c r="K64" s="30"/>
      <c r="L64" s="34"/>
      <c r="M64" s="32"/>
      <c r="N64" s="35" t="str">
        <f aca="false">IF(OR(L64="",M64=""),"",L64+IFERROR(VLOOKUP(M64,Lists!$G$3:$H$20,2,FALSE()),0))</f>
        <v/>
      </c>
      <c r="O64" s="32"/>
      <c r="P64" s="36" t="str">
        <f aca="true">IF(OR(N64="",O64="Closed",O64="Done - to verify"),"",N64-TODAY())</f>
        <v/>
      </c>
      <c r="Q64" s="37" t="str">
        <f aca="true">IF(C64="","",IF(O64="Closed","Closed",IF(O64="Done - to verify","To verify",IF(O64="On hold","On hold",IF(N64="","Set target",IF(N64&lt;TODAY(),"OVERDUE",IF(N64-TODAY()&lt;=7,"Due soon","On track")))))))</f>
        <v/>
      </c>
      <c r="R64" s="30"/>
      <c r="S64" s="34"/>
      <c r="T64" s="30"/>
      <c r="U64" s="30"/>
      <c r="V64" s="30"/>
      <c r="W64" s="34"/>
      <c r="X64" s="30"/>
    </row>
    <row r="65" customFormat="false" ht="15" hidden="false" customHeight="false" outlineLevel="0" collapsed="false">
      <c r="A65" s="30"/>
      <c r="B65" s="30"/>
      <c r="C65" s="30"/>
      <c r="D65" s="32"/>
      <c r="E65" s="30"/>
      <c r="F65" s="30"/>
      <c r="G65" s="30"/>
      <c r="H65" s="30"/>
      <c r="I65" s="32"/>
      <c r="J65" s="30"/>
      <c r="K65" s="30"/>
      <c r="L65" s="34"/>
      <c r="M65" s="32"/>
      <c r="N65" s="35" t="str">
        <f aca="false">IF(OR(L65="",M65=""),"",L65+IFERROR(VLOOKUP(M65,Lists!$G$3:$H$20,2,FALSE()),0))</f>
        <v/>
      </c>
      <c r="O65" s="32"/>
      <c r="P65" s="36" t="str">
        <f aca="true">IF(OR(N65="",O65="Closed",O65="Done - to verify"),"",N65-TODAY())</f>
        <v/>
      </c>
      <c r="Q65" s="37" t="str">
        <f aca="true">IF(C65="","",IF(O65="Closed","Closed",IF(O65="Done - to verify","To verify",IF(O65="On hold","On hold",IF(N65="","Set target",IF(N65&lt;TODAY(),"OVERDUE",IF(N65-TODAY()&lt;=7,"Due soon","On track")))))))</f>
        <v/>
      </c>
      <c r="R65" s="30"/>
      <c r="S65" s="34"/>
      <c r="T65" s="30"/>
      <c r="U65" s="30"/>
      <c r="V65" s="30"/>
      <c r="W65" s="34"/>
      <c r="X65" s="30"/>
    </row>
    <row r="66" customFormat="false" ht="15" hidden="false" customHeight="false" outlineLevel="0" collapsed="false">
      <c r="A66" s="30"/>
      <c r="B66" s="30"/>
      <c r="C66" s="30"/>
      <c r="D66" s="32"/>
      <c r="E66" s="30"/>
      <c r="F66" s="30"/>
      <c r="G66" s="30"/>
      <c r="H66" s="30"/>
      <c r="I66" s="32"/>
      <c r="J66" s="30"/>
      <c r="K66" s="30"/>
      <c r="L66" s="34"/>
      <c r="M66" s="32"/>
      <c r="N66" s="35" t="str">
        <f aca="false">IF(OR(L66="",M66=""),"",L66+IFERROR(VLOOKUP(M66,Lists!$G$3:$H$20,2,FALSE()),0))</f>
        <v/>
      </c>
      <c r="O66" s="32"/>
      <c r="P66" s="36" t="str">
        <f aca="true">IF(OR(N66="",O66="Closed",O66="Done - to verify"),"",N66-TODAY())</f>
        <v/>
      </c>
      <c r="Q66" s="37" t="str">
        <f aca="true">IF(C66="","",IF(O66="Closed","Closed",IF(O66="Done - to verify","To verify",IF(O66="On hold","On hold",IF(N66="","Set target",IF(N66&lt;TODAY(),"OVERDUE",IF(N66-TODAY()&lt;=7,"Due soon","On track")))))))</f>
        <v/>
      </c>
      <c r="R66" s="30"/>
      <c r="S66" s="34"/>
      <c r="T66" s="30"/>
      <c r="U66" s="30"/>
      <c r="V66" s="30"/>
      <c r="W66" s="34"/>
      <c r="X66" s="30"/>
    </row>
    <row r="67" customFormat="false" ht="15" hidden="false" customHeight="false" outlineLevel="0" collapsed="false">
      <c r="A67" s="30"/>
      <c r="B67" s="30"/>
      <c r="C67" s="30"/>
      <c r="D67" s="32"/>
      <c r="E67" s="30"/>
      <c r="F67" s="30"/>
      <c r="G67" s="30"/>
      <c r="H67" s="30"/>
      <c r="I67" s="32"/>
      <c r="J67" s="30"/>
      <c r="K67" s="30"/>
      <c r="L67" s="34"/>
      <c r="M67" s="32"/>
      <c r="N67" s="35" t="str">
        <f aca="false">IF(OR(L67="",M67=""),"",L67+IFERROR(VLOOKUP(M67,Lists!$G$3:$H$20,2,FALSE()),0))</f>
        <v/>
      </c>
      <c r="O67" s="32"/>
      <c r="P67" s="36" t="str">
        <f aca="true">IF(OR(N67="",O67="Closed",O67="Done - to verify"),"",N67-TODAY())</f>
        <v/>
      </c>
      <c r="Q67" s="37" t="str">
        <f aca="true">IF(C67="","",IF(O67="Closed","Closed",IF(O67="Done - to verify","To verify",IF(O67="On hold","On hold",IF(N67="","Set target",IF(N67&lt;TODAY(),"OVERDUE",IF(N67-TODAY()&lt;=7,"Due soon","On track")))))))</f>
        <v/>
      </c>
      <c r="R67" s="30"/>
      <c r="S67" s="34"/>
      <c r="T67" s="30"/>
      <c r="U67" s="30"/>
      <c r="V67" s="30"/>
      <c r="W67" s="34"/>
      <c r="X67" s="30"/>
    </row>
    <row r="68" customFormat="false" ht="15" hidden="false" customHeight="false" outlineLevel="0" collapsed="false">
      <c r="A68" s="30"/>
      <c r="B68" s="30"/>
      <c r="C68" s="30"/>
      <c r="D68" s="32"/>
      <c r="E68" s="30"/>
      <c r="F68" s="30"/>
      <c r="G68" s="30"/>
      <c r="H68" s="30"/>
      <c r="I68" s="32"/>
      <c r="J68" s="30"/>
      <c r="K68" s="30"/>
      <c r="L68" s="34"/>
      <c r="M68" s="32"/>
      <c r="N68" s="35" t="str">
        <f aca="false">IF(OR(L68="",M68=""),"",L68+IFERROR(VLOOKUP(M68,Lists!$G$3:$H$20,2,FALSE()),0))</f>
        <v/>
      </c>
      <c r="O68" s="32"/>
      <c r="P68" s="36" t="str">
        <f aca="true">IF(OR(N68="",O68="Closed",O68="Done - to verify"),"",N68-TODAY())</f>
        <v/>
      </c>
      <c r="Q68" s="37" t="str">
        <f aca="true">IF(C68="","",IF(O68="Closed","Closed",IF(O68="Done - to verify","To verify",IF(O68="On hold","On hold",IF(N68="","Set target",IF(N68&lt;TODAY(),"OVERDUE",IF(N68-TODAY()&lt;=7,"Due soon","On track")))))))</f>
        <v/>
      </c>
      <c r="R68" s="30"/>
      <c r="S68" s="34"/>
      <c r="T68" s="30"/>
      <c r="U68" s="30"/>
      <c r="V68" s="30"/>
      <c r="W68" s="34"/>
      <c r="X68" s="30"/>
    </row>
    <row r="69" customFormat="false" ht="15" hidden="false" customHeight="false" outlineLevel="0" collapsed="false">
      <c r="A69" s="30"/>
      <c r="B69" s="30"/>
      <c r="C69" s="30"/>
      <c r="D69" s="32"/>
      <c r="E69" s="30"/>
      <c r="F69" s="30"/>
      <c r="G69" s="30"/>
      <c r="H69" s="30"/>
      <c r="I69" s="32"/>
      <c r="J69" s="30"/>
      <c r="K69" s="30"/>
      <c r="L69" s="34"/>
      <c r="M69" s="32"/>
      <c r="N69" s="35" t="str">
        <f aca="false">IF(OR(L69="",M69=""),"",L69+IFERROR(VLOOKUP(M69,Lists!$G$3:$H$20,2,FALSE()),0))</f>
        <v/>
      </c>
      <c r="O69" s="32"/>
      <c r="P69" s="36" t="str">
        <f aca="true">IF(OR(N69="",O69="Closed",O69="Done - to verify"),"",N69-TODAY())</f>
        <v/>
      </c>
      <c r="Q69" s="37" t="str">
        <f aca="true">IF(C69="","",IF(O69="Closed","Closed",IF(O69="Done - to verify","To verify",IF(O69="On hold","On hold",IF(N69="","Set target",IF(N69&lt;TODAY(),"OVERDUE",IF(N69-TODAY()&lt;=7,"Due soon","On track")))))))</f>
        <v/>
      </c>
      <c r="R69" s="30"/>
      <c r="S69" s="34"/>
      <c r="T69" s="30"/>
      <c r="U69" s="30"/>
      <c r="V69" s="30"/>
      <c r="W69" s="34"/>
      <c r="X69" s="30"/>
    </row>
    <row r="70" customFormat="false" ht="15" hidden="false" customHeight="false" outlineLevel="0" collapsed="false">
      <c r="A70" s="30"/>
      <c r="B70" s="30"/>
      <c r="C70" s="30"/>
      <c r="D70" s="32"/>
      <c r="E70" s="30"/>
      <c r="F70" s="30"/>
      <c r="G70" s="30"/>
      <c r="H70" s="30"/>
      <c r="I70" s="32"/>
      <c r="J70" s="30"/>
      <c r="K70" s="30"/>
      <c r="L70" s="34"/>
      <c r="M70" s="32"/>
      <c r="N70" s="35" t="str">
        <f aca="false">IF(OR(L70="",M70=""),"",L70+IFERROR(VLOOKUP(M70,Lists!$G$3:$H$20,2,FALSE()),0))</f>
        <v/>
      </c>
      <c r="O70" s="32"/>
      <c r="P70" s="36" t="str">
        <f aca="true">IF(OR(N70="",O70="Closed",O70="Done - to verify"),"",N70-TODAY())</f>
        <v/>
      </c>
      <c r="Q70" s="37" t="str">
        <f aca="true">IF(C70="","",IF(O70="Closed","Closed",IF(O70="Done - to verify","To verify",IF(O70="On hold","On hold",IF(N70="","Set target",IF(N70&lt;TODAY(),"OVERDUE",IF(N70-TODAY()&lt;=7,"Due soon","On track")))))))</f>
        <v/>
      </c>
      <c r="R70" s="30"/>
      <c r="S70" s="34"/>
      <c r="T70" s="30"/>
      <c r="U70" s="30"/>
      <c r="V70" s="30"/>
      <c r="W70" s="34"/>
      <c r="X70" s="30"/>
    </row>
    <row r="71" customFormat="false" ht="15" hidden="false" customHeight="false" outlineLevel="0" collapsed="false">
      <c r="A71" s="30"/>
      <c r="B71" s="30"/>
      <c r="C71" s="30"/>
      <c r="D71" s="32"/>
      <c r="E71" s="30"/>
      <c r="F71" s="30"/>
      <c r="G71" s="30"/>
      <c r="H71" s="30"/>
      <c r="I71" s="32"/>
      <c r="J71" s="30"/>
      <c r="K71" s="30"/>
      <c r="L71" s="34"/>
      <c r="M71" s="32"/>
      <c r="N71" s="35" t="str">
        <f aca="false">IF(OR(L71="",M71=""),"",L71+IFERROR(VLOOKUP(M71,Lists!$G$3:$H$20,2,FALSE()),0))</f>
        <v/>
      </c>
      <c r="O71" s="32"/>
      <c r="P71" s="36" t="str">
        <f aca="true">IF(OR(N71="",O71="Closed",O71="Done - to verify"),"",N71-TODAY())</f>
        <v/>
      </c>
      <c r="Q71" s="37" t="str">
        <f aca="true">IF(C71="","",IF(O71="Closed","Closed",IF(O71="Done - to verify","To verify",IF(O71="On hold","On hold",IF(N71="","Set target",IF(N71&lt;TODAY(),"OVERDUE",IF(N71-TODAY()&lt;=7,"Due soon","On track")))))))</f>
        <v/>
      </c>
      <c r="R71" s="30"/>
      <c r="S71" s="34"/>
      <c r="T71" s="30"/>
      <c r="U71" s="30"/>
      <c r="V71" s="30"/>
      <c r="W71" s="34"/>
      <c r="X71" s="30"/>
    </row>
    <row r="72" customFormat="false" ht="15" hidden="false" customHeight="false" outlineLevel="0" collapsed="false">
      <c r="A72" s="30"/>
      <c r="B72" s="30"/>
      <c r="C72" s="30"/>
      <c r="D72" s="32"/>
      <c r="E72" s="30"/>
      <c r="F72" s="30"/>
      <c r="G72" s="30"/>
      <c r="H72" s="30"/>
      <c r="I72" s="32"/>
      <c r="J72" s="30"/>
      <c r="K72" s="30"/>
      <c r="L72" s="34"/>
      <c r="M72" s="32"/>
      <c r="N72" s="35" t="str">
        <f aca="false">IF(OR(L72="",M72=""),"",L72+IFERROR(VLOOKUP(M72,Lists!$G$3:$H$20,2,FALSE()),0))</f>
        <v/>
      </c>
      <c r="O72" s="32"/>
      <c r="P72" s="36" t="str">
        <f aca="true">IF(OR(N72="",O72="Closed",O72="Done - to verify"),"",N72-TODAY())</f>
        <v/>
      </c>
      <c r="Q72" s="37" t="str">
        <f aca="true">IF(C72="","",IF(O72="Closed","Closed",IF(O72="Done - to verify","To verify",IF(O72="On hold","On hold",IF(N72="","Set target",IF(N72&lt;TODAY(),"OVERDUE",IF(N72-TODAY()&lt;=7,"Due soon","On track")))))))</f>
        <v/>
      </c>
      <c r="R72" s="30"/>
      <c r="S72" s="34"/>
      <c r="T72" s="30"/>
      <c r="U72" s="30"/>
      <c r="V72" s="30"/>
      <c r="W72" s="34"/>
      <c r="X72" s="30"/>
    </row>
    <row r="73" customFormat="false" ht="15" hidden="false" customHeight="false" outlineLevel="0" collapsed="false">
      <c r="A73" s="30"/>
      <c r="B73" s="30"/>
      <c r="C73" s="30"/>
      <c r="D73" s="32"/>
      <c r="E73" s="30"/>
      <c r="F73" s="30"/>
      <c r="G73" s="30"/>
      <c r="H73" s="30"/>
      <c r="I73" s="32"/>
      <c r="J73" s="30"/>
      <c r="K73" s="30"/>
      <c r="L73" s="34"/>
      <c r="M73" s="32"/>
      <c r="N73" s="35" t="str">
        <f aca="false">IF(OR(L73="",M73=""),"",L73+IFERROR(VLOOKUP(M73,Lists!$G$3:$H$20,2,FALSE()),0))</f>
        <v/>
      </c>
      <c r="O73" s="32"/>
      <c r="P73" s="36" t="str">
        <f aca="true">IF(OR(N73="",O73="Closed",O73="Done - to verify"),"",N73-TODAY())</f>
        <v/>
      </c>
      <c r="Q73" s="37" t="str">
        <f aca="true">IF(C73="","",IF(O73="Closed","Closed",IF(O73="Done - to verify","To verify",IF(O73="On hold","On hold",IF(N73="","Set target",IF(N73&lt;TODAY(),"OVERDUE",IF(N73-TODAY()&lt;=7,"Due soon","On track")))))))</f>
        <v/>
      </c>
      <c r="R73" s="30"/>
      <c r="S73" s="34"/>
      <c r="T73" s="30"/>
      <c r="U73" s="30"/>
      <c r="V73" s="30"/>
      <c r="W73" s="34"/>
      <c r="X73" s="30"/>
    </row>
    <row r="74" customFormat="false" ht="15" hidden="false" customHeight="false" outlineLevel="0" collapsed="false">
      <c r="A74" s="30"/>
      <c r="B74" s="30"/>
      <c r="C74" s="30"/>
      <c r="D74" s="32"/>
      <c r="E74" s="30"/>
      <c r="F74" s="30"/>
      <c r="G74" s="30"/>
      <c r="H74" s="30"/>
      <c r="I74" s="32"/>
      <c r="J74" s="30"/>
      <c r="K74" s="30"/>
      <c r="L74" s="34"/>
      <c r="M74" s="32"/>
      <c r="N74" s="35" t="str">
        <f aca="false">IF(OR(L74="",M74=""),"",L74+IFERROR(VLOOKUP(M74,Lists!$G$3:$H$20,2,FALSE()),0))</f>
        <v/>
      </c>
      <c r="O74" s="32"/>
      <c r="P74" s="36" t="str">
        <f aca="true">IF(OR(N74="",O74="Closed",O74="Done - to verify"),"",N74-TODAY())</f>
        <v/>
      </c>
      <c r="Q74" s="37" t="str">
        <f aca="true">IF(C74="","",IF(O74="Closed","Closed",IF(O74="Done - to verify","To verify",IF(O74="On hold","On hold",IF(N74="","Set target",IF(N74&lt;TODAY(),"OVERDUE",IF(N74-TODAY()&lt;=7,"Due soon","On track")))))))</f>
        <v/>
      </c>
      <c r="R74" s="30"/>
      <c r="S74" s="34"/>
      <c r="T74" s="30"/>
      <c r="U74" s="30"/>
      <c r="V74" s="30"/>
      <c r="W74" s="34"/>
      <c r="X74" s="30"/>
    </row>
    <row r="75" customFormat="false" ht="15" hidden="false" customHeight="false" outlineLevel="0" collapsed="false">
      <c r="A75" s="30"/>
      <c r="B75" s="30"/>
      <c r="C75" s="30"/>
      <c r="D75" s="32"/>
      <c r="E75" s="30"/>
      <c r="F75" s="30"/>
      <c r="G75" s="30"/>
      <c r="H75" s="30"/>
      <c r="I75" s="32"/>
      <c r="J75" s="30"/>
      <c r="K75" s="30"/>
      <c r="L75" s="34"/>
      <c r="M75" s="32"/>
      <c r="N75" s="35" t="str">
        <f aca="false">IF(OR(L75="",M75=""),"",L75+IFERROR(VLOOKUP(M75,Lists!$G$3:$H$20,2,FALSE()),0))</f>
        <v/>
      </c>
      <c r="O75" s="32"/>
      <c r="P75" s="36" t="str">
        <f aca="true">IF(OR(N75="",O75="Closed",O75="Done - to verify"),"",N75-TODAY())</f>
        <v/>
      </c>
      <c r="Q75" s="37" t="str">
        <f aca="true">IF(C75="","",IF(O75="Closed","Closed",IF(O75="Done - to verify","To verify",IF(O75="On hold","On hold",IF(N75="","Set target",IF(N75&lt;TODAY(),"OVERDUE",IF(N75-TODAY()&lt;=7,"Due soon","On track")))))))</f>
        <v/>
      </c>
      <c r="R75" s="30"/>
      <c r="S75" s="34"/>
      <c r="T75" s="30"/>
      <c r="U75" s="30"/>
      <c r="V75" s="30"/>
      <c r="W75" s="34"/>
      <c r="X75" s="30"/>
    </row>
    <row r="76" customFormat="false" ht="15" hidden="false" customHeight="false" outlineLevel="0" collapsed="false">
      <c r="A76" s="30"/>
      <c r="B76" s="30"/>
      <c r="C76" s="30"/>
      <c r="D76" s="32"/>
      <c r="E76" s="30"/>
      <c r="F76" s="30"/>
      <c r="G76" s="30"/>
      <c r="H76" s="30"/>
      <c r="I76" s="32"/>
      <c r="J76" s="30"/>
      <c r="K76" s="30"/>
      <c r="L76" s="34"/>
      <c r="M76" s="32"/>
      <c r="N76" s="35" t="str">
        <f aca="false">IF(OR(L76="",M76=""),"",L76+IFERROR(VLOOKUP(M76,Lists!$G$3:$H$20,2,FALSE()),0))</f>
        <v/>
      </c>
      <c r="O76" s="32"/>
      <c r="P76" s="36" t="str">
        <f aca="true">IF(OR(N76="",O76="Closed",O76="Done - to verify"),"",N76-TODAY())</f>
        <v/>
      </c>
      <c r="Q76" s="37" t="str">
        <f aca="true">IF(C76="","",IF(O76="Closed","Closed",IF(O76="Done - to verify","To verify",IF(O76="On hold","On hold",IF(N76="","Set target",IF(N76&lt;TODAY(),"OVERDUE",IF(N76-TODAY()&lt;=7,"Due soon","On track")))))))</f>
        <v/>
      </c>
      <c r="R76" s="30"/>
      <c r="S76" s="34"/>
      <c r="T76" s="30"/>
      <c r="U76" s="30"/>
      <c r="V76" s="30"/>
      <c r="W76" s="34"/>
      <c r="X76" s="30"/>
    </row>
    <row r="77" customFormat="false" ht="15" hidden="false" customHeight="false" outlineLevel="0" collapsed="false">
      <c r="A77" s="30"/>
      <c r="B77" s="30"/>
      <c r="C77" s="30"/>
      <c r="D77" s="32"/>
      <c r="E77" s="30"/>
      <c r="F77" s="30"/>
      <c r="G77" s="30"/>
      <c r="H77" s="30"/>
      <c r="I77" s="32"/>
      <c r="J77" s="30"/>
      <c r="K77" s="30"/>
      <c r="L77" s="34"/>
      <c r="M77" s="32"/>
      <c r="N77" s="35" t="str">
        <f aca="false">IF(OR(L77="",M77=""),"",L77+IFERROR(VLOOKUP(M77,Lists!$G$3:$H$20,2,FALSE()),0))</f>
        <v/>
      </c>
      <c r="O77" s="32"/>
      <c r="P77" s="36" t="str">
        <f aca="true">IF(OR(N77="",O77="Closed",O77="Done - to verify"),"",N77-TODAY())</f>
        <v/>
      </c>
      <c r="Q77" s="37" t="str">
        <f aca="true">IF(C77="","",IF(O77="Closed","Closed",IF(O77="Done - to verify","To verify",IF(O77="On hold","On hold",IF(N77="","Set target",IF(N77&lt;TODAY(),"OVERDUE",IF(N77-TODAY()&lt;=7,"Due soon","On track")))))))</f>
        <v/>
      </c>
      <c r="R77" s="30"/>
      <c r="S77" s="34"/>
      <c r="T77" s="30"/>
      <c r="U77" s="30"/>
      <c r="V77" s="30"/>
      <c r="W77" s="34"/>
      <c r="X77" s="30"/>
    </row>
    <row r="78" customFormat="false" ht="15" hidden="false" customHeight="false" outlineLevel="0" collapsed="false">
      <c r="A78" s="30"/>
      <c r="B78" s="30"/>
      <c r="C78" s="30"/>
      <c r="D78" s="32"/>
      <c r="E78" s="30"/>
      <c r="F78" s="30"/>
      <c r="G78" s="30"/>
      <c r="H78" s="30"/>
      <c r="I78" s="32"/>
      <c r="J78" s="30"/>
      <c r="K78" s="30"/>
      <c r="L78" s="34"/>
      <c r="M78" s="32"/>
      <c r="N78" s="35" t="str">
        <f aca="false">IF(OR(L78="",M78=""),"",L78+IFERROR(VLOOKUP(M78,Lists!$G$3:$H$20,2,FALSE()),0))</f>
        <v/>
      </c>
      <c r="O78" s="32"/>
      <c r="P78" s="36" t="str">
        <f aca="true">IF(OR(N78="",O78="Closed",O78="Done - to verify"),"",N78-TODAY())</f>
        <v/>
      </c>
      <c r="Q78" s="37" t="str">
        <f aca="true">IF(C78="","",IF(O78="Closed","Closed",IF(O78="Done - to verify","To verify",IF(O78="On hold","On hold",IF(N78="","Set target",IF(N78&lt;TODAY(),"OVERDUE",IF(N78-TODAY()&lt;=7,"Due soon","On track")))))))</f>
        <v/>
      </c>
      <c r="R78" s="30"/>
      <c r="S78" s="34"/>
      <c r="T78" s="30"/>
      <c r="U78" s="30"/>
      <c r="V78" s="30"/>
      <c r="W78" s="34"/>
      <c r="X78" s="30"/>
    </row>
    <row r="79" customFormat="false" ht="15" hidden="false" customHeight="false" outlineLevel="0" collapsed="false">
      <c r="A79" s="30"/>
      <c r="B79" s="30"/>
      <c r="C79" s="30"/>
      <c r="D79" s="32"/>
      <c r="E79" s="30"/>
      <c r="F79" s="30"/>
      <c r="G79" s="30"/>
      <c r="H79" s="30"/>
      <c r="I79" s="32"/>
      <c r="J79" s="30"/>
      <c r="K79" s="30"/>
      <c r="L79" s="34"/>
      <c r="M79" s="32"/>
      <c r="N79" s="35" t="str">
        <f aca="false">IF(OR(L79="",M79=""),"",L79+IFERROR(VLOOKUP(M79,Lists!$G$3:$H$20,2,FALSE()),0))</f>
        <v/>
      </c>
      <c r="O79" s="32"/>
      <c r="P79" s="36" t="str">
        <f aca="true">IF(OR(N79="",O79="Closed",O79="Done - to verify"),"",N79-TODAY())</f>
        <v/>
      </c>
      <c r="Q79" s="37" t="str">
        <f aca="true">IF(C79="","",IF(O79="Closed","Closed",IF(O79="Done - to verify","To verify",IF(O79="On hold","On hold",IF(N79="","Set target",IF(N79&lt;TODAY(),"OVERDUE",IF(N79-TODAY()&lt;=7,"Due soon","On track")))))))</f>
        <v/>
      </c>
      <c r="R79" s="30"/>
      <c r="S79" s="34"/>
      <c r="T79" s="30"/>
      <c r="U79" s="30"/>
      <c r="V79" s="30"/>
      <c r="W79" s="34"/>
      <c r="X79" s="30"/>
    </row>
    <row r="80" customFormat="false" ht="15" hidden="false" customHeight="false" outlineLevel="0" collapsed="false">
      <c r="A80" s="30"/>
      <c r="B80" s="30"/>
      <c r="C80" s="30"/>
      <c r="D80" s="32"/>
      <c r="E80" s="30"/>
      <c r="F80" s="30"/>
      <c r="G80" s="30"/>
      <c r="H80" s="30"/>
      <c r="I80" s="32"/>
      <c r="J80" s="30"/>
      <c r="K80" s="30"/>
      <c r="L80" s="34"/>
      <c r="M80" s="32"/>
      <c r="N80" s="35" t="str">
        <f aca="false">IF(OR(L80="",M80=""),"",L80+IFERROR(VLOOKUP(M80,Lists!$G$3:$H$20,2,FALSE()),0))</f>
        <v/>
      </c>
      <c r="O80" s="32"/>
      <c r="P80" s="36" t="str">
        <f aca="true">IF(OR(N80="",O80="Closed",O80="Done - to verify"),"",N80-TODAY())</f>
        <v/>
      </c>
      <c r="Q80" s="37" t="str">
        <f aca="true">IF(C80="","",IF(O80="Closed","Closed",IF(O80="Done - to verify","To verify",IF(O80="On hold","On hold",IF(N80="","Set target",IF(N80&lt;TODAY(),"OVERDUE",IF(N80-TODAY()&lt;=7,"Due soon","On track")))))))</f>
        <v/>
      </c>
      <c r="R80" s="30"/>
      <c r="S80" s="34"/>
      <c r="T80" s="30"/>
      <c r="U80" s="30"/>
      <c r="V80" s="30"/>
      <c r="W80" s="34"/>
      <c r="X80" s="30"/>
    </row>
    <row r="81" customFormat="false" ht="15" hidden="false" customHeight="false" outlineLevel="0" collapsed="false">
      <c r="A81" s="30"/>
      <c r="B81" s="30"/>
      <c r="C81" s="30"/>
      <c r="D81" s="32"/>
      <c r="E81" s="30"/>
      <c r="F81" s="30"/>
      <c r="G81" s="30"/>
      <c r="H81" s="30"/>
      <c r="I81" s="32"/>
      <c r="J81" s="30"/>
      <c r="K81" s="30"/>
      <c r="L81" s="34"/>
      <c r="M81" s="32"/>
      <c r="N81" s="35" t="str">
        <f aca="false">IF(OR(L81="",M81=""),"",L81+IFERROR(VLOOKUP(M81,Lists!$G$3:$H$20,2,FALSE()),0))</f>
        <v/>
      </c>
      <c r="O81" s="32"/>
      <c r="P81" s="36" t="str">
        <f aca="true">IF(OR(N81="",O81="Closed",O81="Done - to verify"),"",N81-TODAY())</f>
        <v/>
      </c>
      <c r="Q81" s="37" t="str">
        <f aca="true">IF(C81="","",IF(O81="Closed","Closed",IF(O81="Done - to verify","To verify",IF(O81="On hold","On hold",IF(N81="","Set target",IF(N81&lt;TODAY(),"OVERDUE",IF(N81-TODAY()&lt;=7,"Due soon","On track")))))))</f>
        <v/>
      </c>
      <c r="R81" s="30"/>
      <c r="S81" s="34"/>
      <c r="T81" s="30"/>
      <c r="U81" s="30"/>
      <c r="V81" s="30"/>
      <c r="W81" s="34"/>
      <c r="X81" s="30"/>
    </row>
    <row r="82" customFormat="false" ht="15" hidden="false" customHeight="false" outlineLevel="0" collapsed="false">
      <c r="A82" s="30"/>
      <c r="B82" s="30"/>
      <c r="C82" s="30"/>
      <c r="D82" s="32"/>
      <c r="E82" s="30"/>
      <c r="F82" s="30"/>
      <c r="G82" s="30"/>
      <c r="H82" s="30"/>
      <c r="I82" s="32"/>
      <c r="J82" s="30"/>
      <c r="K82" s="30"/>
      <c r="L82" s="34"/>
      <c r="M82" s="32"/>
      <c r="N82" s="35" t="str">
        <f aca="false">IF(OR(L82="",M82=""),"",L82+IFERROR(VLOOKUP(M82,Lists!$G$3:$H$20,2,FALSE()),0))</f>
        <v/>
      </c>
      <c r="O82" s="32"/>
      <c r="P82" s="36" t="str">
        <f aca="true">IF(OR(N82="",O82="Closed",O82="Done - to verify"),"",N82-TODAY())</f>
        <v/>
      </c>
      <c r="Q82" s="37" t="str">
        <f aca="true">IF(C82="","",IF(O82="Closed","Closed",IF(O82="Done - to verify","To verify",IF(O82="On hold","On hold",IF(N82="","Set target",IF(N82&lt;TODAY(),"OVERDUE",IF(N82-TODAY()&lt;=7,"Due soon","On track")))))))</f>
        <v/>
      </c>
      <c r="R82" s="30"/>
      <c r="S82" s="34"/>
      <c r="T82" s="30"/>
      <c r="U82" s="30"/>
      <c r="V82" s="30"/>
      <c r="W82" s="34"/>
      <c r="X82" s="30"/>
    </row>
    <row r="83" customFormat="false" ht="15" hidden="false" customHeight="false" outlineLevel="0" collapsed="false">
      <c r="A83" s="30"/>
      <c r="B83" s="30"/>
      <c r="C83" s="30"/>
      <c r="D83" s="32"/>
      <c r="E83" s="30"/>
      <c r="F83" s="30"/>
      <c r="G83" s="30"/>
      <c r="H83" s="30"/>
      <c r="I83" s="32"/>
      <c r="J83" s="30"/>
      <c r="K83" s="30"/>
      <c r="L83" s="34"/>
      <c r="M83" s="32"/>
      <c r="N83" s="35" t="str">
        <f aca="false">IF(OR(L83="",M83=""),"",L83+IFERROR(VLOOKUP(M83,Lists!$G$3:$H$20,2,FALSE()),0))</f>
        <v/>
      </c>
      <c r="O83" s="32"/>
      <c r="P83" s="36" t="str">
        <f aca="true">IF(OR(N83="",O83="Closed",O83="Done - to verify"),"",N83-TODAY())</f>
        <v/>
      </c>
      <c r="Q83" s="37" t="str">
        <f aca="true">IF(C83="","",IF(O83="Closed","Closed",IF(O83="Done - to verify","To verify",IF(O83="On hold","On hold",IF(N83="","Set target",IF(N83&lt;TODAY(),"OVERDUE",IF(N83-TODAY()&lt;=7,"Due soon","On track")))))))</f>
        <v/>
      </c>
      <c r="R83" s="30"/>
      <c r="S83" s="34"/>
      <c r="T83" s="30"/>
      <c r="U83" s="30"/>
      <c r="V83" s="30"/>
      <c r="W83" s="34"/>
      <c r="X83" s="30"/>
    </row>
    <row r="84" customFormat="false" ht="15" hidden="false" customHeight="false" outlineLevel="0" collapsed="false">
      <c r="A84" s="30"/>
      <c r="B84" s="30"/>
      <c r="C84" s="30"/>
      <c r="D84" s="32"/>
      <c r="E84" s="30"/>
      <c r="F84" s="30"/>
      <c r="G84" s="30"/>
      <c r="H84" s="30"/>
      <c r="I84" s="32"/>
      <c r="J84" s="30"/>
      <c r="K84" s="30"/>
      <c r="L84" s="34"/>
      <c r="M84" s="32"/>
      <c r="N84" s="35" t="str">
        <f aca="false">IF(OR(L84="",M84=""),"",L84+IFERROR(VLOOKUP(M84,Lists!$G$3:$H$20,2,FALSE()),0))</f>
        <v/>
      </c>
      <c r="O84" s="32"/>
      <c r="P84" s="36" t="str">
        <f aca="true">IF(OR(N84="",O84="Closed",O84="Done - to verify"),"",N84-TODAY())</f>
        <v/>
      </c>
      <c r="Q84" s="37" t="str">
        <f aca="true">IF(C84="","",IF(O84="Closed","Closed",IF(O84="Done - to verify","To verify",IF(O84="On hold","On hold",IF(N84="","Set target",IF(N84&lt;TODAY(),"OVERDUE",IF(N84-TODAY()&lt;=7,"Due soon","On track")))))))</f>
        <v/>
      </c>
      <c r="R84" s="30"/>
      <c r="S84" s="34"/>
      <c r="T84" s="30"/>
      <c r="U84" s="30"/>
      <c r="V84" s="30"/>
      <c r="W84" s="34"/>
      <c r="X84" s="30"/>
    </row>
    <row r="85" customFormat="false" ht="15" hidden="false" customHeight="false" outlineLevel="0" collapsed="false">
      <c r="A85" s="30"/>
      <c r="B85" s="30"/>
      <c r="C85" s="30"/>
      <c r="D85" s="32"/>
      <c r="E85" s="30"/>
      <c r="F85" s="30"/>
      <c r="G85" s="30"/>
      <c r="H85" s="30"/>
      <c r="I85" s="32"/>
      <c r="J85" s="30"/>
      <c r="K85" s="30"/>
      <c r="L85" s="34"/>
      <c r="M85" s="32"/>
      <c r="N85" s="35" t="str">
        <f aca="false">IF(OR(L85="",M85=""),"",L85+IFERROR(VLOOKUP(M85,Lists!$G$3:$H$20,2,FALSE()),0))</f>
        <v/>
      </c>
      <c r="O85" s="32"/>
      <c r="P85" s="36" t="str">
        <f aca="true">IF(OR(N85="",O85="Closed",O85="Done - to verify"),"",N85-TODAY())</f>
        <v/>
      </c>
      <c r="Q85" s="37" t="str">
        <f aca="true">IF(C85="","",IF(O85="Closed","Closed",IF(O85="Done - to verify","To verify",IF(O85="On hold","On hold",IF(N85="","Set target",IF(N85&lt;TODAY(),"OVERDUE",IF(N85-TODAY()&lt;=7,"Due soon","On track")))))))</f>
        <v/>
      </c>
      <c r="R85" s="30"/>
      <c r="S85" s="34"/>
      <c r="T85" s="30"/>
      <c r="U85" s="30"/>
      <c r="V85" s="30"/>
      <c r="W85" s="34"/>
      <c r="X85" s="30"/>
    </row>
    <row r="86" customFormat="false" ht="15" hidden="false" customHeight="false" outlineLevel="0" collapsed="false">
      <c r="A86" s="30"/>
      <c r="B86" s="30"/>
      <c r="C86" s="30"/>
      <c r="D86" s="32"/>
      <c r="E86" s="30"/>
      <c r="F86" s="30"/>
      <c r="G86" s="30"/>
      <c r="H86" s="30"/>
      <c r="I86" s="32"/>
      <c r="J86" s="30"/>
      <c r="K86" s="30"/>
      <c r="L86" s="34"/>
      <c r="M86" s="32"/>
      <c r="N86" s="35" t="str">
        <f aca="false">IF(OR(L86="",M86=""),"",L86+IFERROR(VLOOKUP(M86,Lists!$G$3:$H$20,2,FALSE()),0))</f>
        <v/>
      </c>
      <c r="O86" s="32"/>
      <c r="P86" s="36" t="str">
        <f aca="true">IF(OR(N86="",O86="Closed",O86="Done - to verify"),"",N86-TODAY())</f>
        <v/>
      </c>
      <c r="Q86" s="37" t="str">
        <f aca="true">IF(C86="","",IF(O86="Closed","Closed",IF(O86="Done - to verify","To verify",IF(O86="On hold","On hold",IF(N86="","Set target",IF(N86&lt;TODAY(),"OVERDUE",IF(N86-TODAY()&lt;=7,"Due soon","On track")))))))</f>
        <v/>
      </c>
      <c r="R86" s="30"/>
      <c r="S86" s="34"/>
      <c r="T86" s="30"/>
      <c r="U86" s="30"/>
      <c r="V86" s="30"/>
      <c r="W86" s="34"/>
      <c r="X86" s="30"/>
    </row>
    <row r="87" customFormat="false" ht="15" hidden="false" customHeight="false" outlineLevel="0" collapsed="false">
      <c r="A87" s="30"/>
      <c r="B87" s="30"/>
      <c r="C87" s="30"/>
      <c r="D87" s="32"/>
      <c r="E87" s="30"/>
      <c r="F87" s="30"/>
      <c r="G87" s="30"/>
      <c r="H87" s="30"/>
      <c r="I87" s="32"/>
      <c r="J87" s="30"/>
      <c r="K87" s="30"/>
      <c r="L87" s="34"/>
      <c r="M87" s="32"/>
      <c r="N87" s="35" t="str">
        <f aca="false">IF(OR(L87="",M87=""),"",L87+IFERROR(VLOOKUP(M87,Lists!$G$3:$H$20,2,FALSE()),0))</f>
        <v/>
      </c>
      <c r="O87" s="32"/>
      <c r="P87" s="36" t="str">
        <f aca="true">IF(OR(N87="",O87="Closed",O87="Done - to verify"),"",N87-TODAY())</f>
        <v/>
      </c>
      <c r="Q87" s="37" t="str">
        <f aca="true">IF(C87="","",IF(O87="Closed","Closed",IF(O87="Done - to verify","To verify",IF(O87="On hold","On hold",IF(N87="","Set target",IF(N87&lt;TODAY(),"OVERDUE",IF(N87-TODAY()&lt;=7,"Due soon","On track")))))))</f>
        <v/>
      </c>
      <c r="R87" s="30"/>
      <c r="S87" s="34"/>
      <c r="T87" s="30"/>
      <c r="U87" s="30"/>
      <c r="V87" s="30"/>
      <c r="W87" s="34"/>
      <c r="X87" s="30"/>
    </row>
    <row r="88" customFormat="false" ht="15" hidden="false" customHeight="false" outlineLevel="0" collapsed="false">
      <c r="A88" s="30"/>
      <c r="B88" s="30"/>
      <c r="C88" s="30"/>
      <c r="D88" s="32"/>
      <c r="E88" s="30"/>
      <c r="F88" s="30"/>
      <c r="G88" s="30"/>
      <c r="H88" s="30"/>
      <c r="I88" s="32"/>
      <c r="J88" s="30"/>
      <c r="K88" s="30"/>
      <c r="L88" s="34"/>
      <c r="M88" s="32"/>
      <c r="N88" s="35" t="str">
        <f aca="false">IF(OR(L88="",M88=""),"",L88+IFERROR(VLOOKUP(M88,Lists!$G$3:$H$20,2,FALSE()),0))</f>
        <v/>
      </c>
      <c r="O88" s="32"/>
      <c r="P88" s="36" t="str">
        <f aca="true">IF(OR(N88="",O88="Closed",O88="Done - to verify"),"",N88-TODAY())</f>
        <v/>
      </c>
      <c r="Q88" s="37" t="str">
        <f aca="true">IF(C88="","",IF(O88="Closed","Closed",IF(O88="Done - to verify","To verify",IF(O88="On hold","On hold",IF(N88="","Set target",IF(N88&lt;TODAY(),"OVERDUE",IF(N88-TODAY()&lt;=7,"Due soon","On track")))))))</f>
        <v/>
      </c>
      <c r="R88" s="30"/>
      <c r="S88" s="34"/>
      <c r="T88" s="30"/>
      <c r="U88" s="30"/>
      <c r="V88" s="30"/>
      <c r="W88" s="34"/>
      <c r="X88" s="30"/>
    </row>
    <row r="89" customFormat="false" ht="15" hidden="false" customHeight="false" outlineLevel="0" collapsed="false">
      <c r="A89" s="30"/>
      <c r="B89" s="30"/>
      <c r="C89" s="30"/>
      <c r="D89" s="32"/>
      <c r="E89" s="30"/>
      <c r="F89" s="30"/>
      <c r="G89" s="30"/>
      <c r="H89" s="30"/>
      <c r="I89" s="32"/>
      <c r="J89" s="30"/>
      <c r="K89" s="30"/>
      <c r="L89" s="34"/>
      <c r="M89" s="32"/>
      <c r="N89" s="35" t="str">
        <f aca="false">IF(OR(L89="",M89=""),"",L89+IFERROR(VLOOKUP(M89,Lists!$G$3:$H$20,2,FALSE()),0))</f>
        <v/>
      </c>
      <c r="O89" s="32"/>
      <c r="P89" s="36" t="str">
        <f aca="true">IF(OR(N89="",O89="Closed",O89="Done - to verify"),"",N89-TODAY())</f>
        <v/>
      </c>
      <c r="Q89" s="37" t="str">
        <f aca="true">IF(C89="","",IF(O89="Closed","Closed",IF(O89="Done - to verify","To verify",IF(O89="On hold","On hold",IF(N89="","Set target",IF(N89&lt;TODAY(),"OVERDUE",IF(N89-TODAY()&lt;=7,"Due soon","On track")))))))</f>
        <v/>
      </c>
      <c r="R89" s="30"/>
      <c r="S89" s="34"/>
      <c r="T89" s="30"/>
      <c r="U89" s="30"/>
      <c r="V89" s="30"/>
      <c r="W89" s="34"/>
      <c r="X89" s="30"/>
    </row>
    <row r="90" customFormat="false" ht="15" hidden="false" customHeight="false" outlineLevel="0" collapsed="false">
      <c r="A90" s="30"/>
      <c r="B90" s="30"/>
      <c r="C90" s="30"/>
      <c r="D90" s="32"/>
      <c r="E90" s="30"/>
      <c r="F90" s="30"/>
      <c r="G90" s="30"/>
      <c r="H90" s="30"/>
      <c r="I90" s="32"/>
      <c r="J90" s="30"/>
      <c r="K90" s="30"/>
      <c r="L90" s="34"/>
      <c r="M90" s="32"/>
      <c r="N90" s="35" t="str">
        <f aca="false">IF(OR(L90="",M90=""),"",L90+IFERROR(VLOOKUP(M90,Lists!$G$3:$H$20,2,FALSE()),0))</f>
        <v/>
      </c>
      <c r="O90" s="32"/>
      <c r="P90" s="36" t="str">
        <f aca="true">IF(OR(N90="",O90="Closed",O90="Done - to verify"),"",N90-TODAY())</f>
        <v/>
      </c>
      <c r="Q90" s="37" t="str">
        <f aca="true">IF(C90="","",IF(O90="Closed","Closed",IF(O90="Done - to verify","To verify",IF(O90="On hold","On hold",IF(N90="","Set target",IF(N90&lt;TODAY(),"OVERDUE",IF(N90-TODAY()&lt;=7,"Due soon","On track")))))))</f>
        <v/>
      </c>
      <c r="R90" s="30"/>
      <c r="S90" s="34"/>
      <c r="T90" s="30"/>
      <c r="U90" s="30"/>
      <c r="V90" s="30"/>
      <c r="W90" s="34"/>
      <c r="X90" s="30"/>
    </row>
    <row r="91" customFormat="false" ht="15" hidden="false" customHeight="false" outlineLevel="0" collapsed="false">
      <c r="A91" s="30"/>
      <c r="B91" s="30"/>
      <c r="C91" s="30"/>
      <c r="D91" s="32"/>
      <c r="E91" s="30"/>
      <c r="F91" s="30"/>
      <c r="G91" s="30"/>
      <c r="H91" s="30"/>
      <c r="I91" s="32"/>
      <c r="J91" s="30"/>
      <c r="K91" s="30"/>
      <c r="L91" s="34"/>
      <c r="M91" s="32"/>
      <c r="N91" s="35" t="str">
        <f aca="false">IF(OR(L91="",M91=""),"",L91+IFERROR(VLOOKUP(M91,Lists!$G$3:$H$20,2,FALSE()),0))</f>
        <v/>
      </c>
      <c r="O91" s="32"/>
      <c r="P91" s="36" t="str">
        <f aca="true">IF(OR(N91="",O91="Closed",O91="Done - to verify"),"",N91-TODAY())</f>
        <v/>
      </c>
      <c r="Q91" s="37" t="str">
        <f aca="true">IF(C91="","",IF(O91="Closed","Closed",IF(O91="Done - to verify","To verify",IF(O91="On hold","On hold",IF(N91="","Set target",IF(N91&lt;TODAY(),"OVERDUE",IF(N91-TODAY()&lt;=7,"Due soon","On track")))))))</f>
        <v/>
      </c>
      <c r="R91" s="30"/>
      <c r="S91" s="34"/>
      <c r="T91" s="30"/>
      <c r="U91" s="30"/>
      <c r="V91" s="30"/>
      <c r="W91" s="34"/>
      <c r="X91" s="30"/>
    </row>
    <row r="92" customFormat="false" ht="15" hidden="false" customHeight="false" outlineLevel="0" collapsed="false">
      <c r="A92" s="30"/>
      <c r="B92" s="30"/>
      <c r="C92" s="30"/>
      <c r="D92" s="32"/>
      <c r="E92" s="30"/>
      <c r="F92" s="30"/>
      <c r="G92" s="30"/>
      <c r="H92" s="30"/>
      <c r="I92" s="32"/>
      <c r="J92" s="30"/>
      <c r="K92" s="30"/>
      <c r="L92" s="34"/>
      <c r="M92" s="32"/>
      <c r="N92" s="35" t="str">
        <f aca="false">IF(OR(L92="",M92=""),"",L92+IFERROR(VLOOKUP(M92,Lists!$G$3:$H$20,2,FALSE()),0))</f>
        <v/>
      </c>
      <c r="O92" s="32"/>
      <c r="P92" s="36" t="str">
        <f aca="true">IF(OR(N92="",O92="Closed",O92="Done - to verify"),"",N92-TODAY())</f>
        <v/>
      </c>
      <c r="Q92" s="37" t="str">
        <f aca="true">IF(C92="","",IF(O92="Closed","Closed",IF(O92="Done - to verify","To verify",IF(O92="On hold","On hold",IF(N92="","Set target",IF(N92&lt;TODAY(),"OVERDUE",IF(N92-TODAY()&lt;=7,"Due soon","On track")))))))</f>
        <v/>
      </c>
      <c r="R92" s="30"/>
      <c r="S92" s="34"/>
      <c r="T92" s="30"/>
      <c r="U92" s="30"/>
      <c r="V92" s="30"/>
      <c r="W92" s="34"/>
      <c r="X92" s="30"/>
    </row>
    <row r="93" customFormat="false" ht="15" hidden="false" customHeight="false" outlineLevel="0" collapsed="false">
      <c r="A93" s="30"/>
      <c r="B93" s="30"/>
      <c r="C93" s="30"/>
      <c r="D93" s="32"/>
      <c r="E93" s="30"/>
      <c r="F93" s="30"/>
      <c r="G93" s="30"/>
      <c r="H93" s="30"/>
      <c r="I93" s="32"/>
      <c r="J93" s="30"/>
      <c r="K93" s="30"/>
      <c r="L93" s="34"/>
      <c r="M93" s="32"/>
      <c r="N93" s="35" t="str">
        <f aca="false">IF(OR(L93="",M93=""),"",L93+IFERROR(VLOOKUP(M93,Lists!$G$3:$H$20,2,FALSE()),0))</f>
        <v/>
      </c>
      <c r="O93" s="32"/>
      <c r="P93" s="36" t="str">
        <f aca="true">IF(OR(N93="",O93="Closed",O93="Done - to verify"),"",N93-TODAY())</f>
        <v/>
      </c>
      <c r="Q93" s="37" t="str">
        <f aca="true">IF(C93="","",IF(O93="Closed","Closed",IF(O93="Done - to verify","To verify",IF(O93="On hold","On hold",IF(N93="","Set target",IF(N93&lt;TODAY(),"OVERDUE",IF(N93-TODAY()&lt;=7,"Due soon","On track")))))))</f>
        <v/>
      </c>
      <c r="R93" s="30"/>
      <c r="S93" s="34"/>
      <c r="T93" s="30"/>
      <c r="U93" s="30"/>
      <c r="V93" s="30"/>
      <c r="W93" s="34"/>
      <c r="X93" s="30"/>
    </row>
    <row r="94" customFormat="false" ht="15" hidden="false" customHeight="false" outlineLevel="0" collapsed="false">
      <c r="A94" s="30"/>
      <c r="B94" s="30"/>
      <c r="C94" s="30"/>
      <c r="D94" s="32"/>
      <c r="E94" s="30"/>
      <c r="F94" s="30"/>
      <c r="G94" s="30"/>
      <c r="H94" s="30"/>
      <c r="I94" s="32"/>
      <c r="J94" s="30"/>
      <c r="K94" s="30"/>
      <c r="L94" s="34"/>
      <c r="M94" s="32"/>
      <c r="N94" s="35" t="str">
        <f aca="false">IF(OR(L94="",M94=""),"",L94+IFERROR(VLOOKUP(M94,Lists!$G$3:$H$20,2,FALSE()),0))</f>
        <v/>
      </c>
      <c r="O94" s="32"/>
      <c r="P94" s="36" t="str">
        <f aca="true">IF(OR(N94="",O94="Closed",O94="Done - to verify"),"",N94-TODAY())</f>
        <v/>
      </c>
      <c r="Q94" s="37" t="str">
        <f aca="true">IF(C94="","",IF(O94="Closed","Closed",IF(O94="Done - to verify","To verify",IF(O94="On hold","On hold",IF(N94="","Set target",IF(N94&lt;TODAY(),"OVERDUE",IF(N94-TODAY()&lt;=7,"Due soon","On track")))))))</f>
        <v/>
      </c>
      <c r="R94" s="30"/>
      <c r="S94" s="34"/>
      <c r="T94" s="30"/>
      <c r="U94" s="30"/>
      <c r="V94" s="30"/>
      <c r="W94" s="34"/>
      <c r="X94" s="30"/>
    </row>
    <row r="95" customFormat="false" ht="15" hidden="false" customHeight="false" outlineLevel="0" collapsed="false">
      <c r="A95" s="30"/>
      <c r="B95" s="30"/>
      <c r="C95" s="30"/>
      <c r="D95" s="32"/>
      <c r="E95" s="30"/>
      <c r="F95" s="30"/>
      <c r="G95" s="30"/>
      <c r="H95" s="30"/>
      <c r="I95" s="32"/>
      <c r="J95" s="30"/>
      <c r="K95" s="30"/>
      <c r="L95" s="34"/>
      <c r="M95" s="32"/>
      <c r="N95" s="35" t="str">
        <f aca="false">IF(OR(L95="",M95=""),"",L95+IFERROR(VLOOKUP(M95,Lists!$G$3:$H$20,2,FALSE()),0))</f>
        <v/>
      </c>
      <c r="O95" s="32"/>
      <c r="P95" s="36" t="str">
        <f aca="true">IF(OR(N95="",O95="Closed",O95="Done - to verify"),"",N95-TODAY())</f>
        <v/>
      </c>
      <c r="Q95" s="37" t="str">
        <f aca="true">IF(C95="","",IF(O95="Closed","Closed",IF(O95="Done - to verify","To verify",IF(O95="On hold","On hold",IF(N95="","Set target",IF(N95&lt;TODAY(),"OVERDUE",IF(N95-TODAY()&lt;=7,"Due soon","On track")))))))</f>
        <v/>
      </c>
      <c r="R95" s="30"/>
      <c r="S95" s="34"/>
      <c r="T95" s="30"/>
      <c r="U95" s="30"/>
      <c r="V95" s="30"/>
      <c r="W95" s="34"/>
      <c r="X95" s="30"/>
    </row>
    <row r="96" customFormat="false" ht="15" hidden="false" customHeight="false" outlineLevel="0" collapsed="false">
      <c r="A96" s="30"/>
      <c r="B96" s="30"/>
      <c r="C96" s="30"/>
      <c r="D96" s="32"/>
      <c r="E96" s="30"/>
      <c r="F96" s="30"/>
      <c r="G96" s="30"/>
      <c r="H96" s="30"/>
      <c r="I96" s="32"/>
      <c r="J96" s="30"/>
      <c r="K96" s="30"/>
      <c r="L96" s="34"/>
      <c r="M96" s="32"/>
      <c r="N96" s="35" t="str">
        <f aca="false">IF(OR(L96="",M96=""),"",L96+IFERROR(VLOOKUP(M96,Lists!$G$3:$H$20,2,FALSE()),0))</f>
        <v/>
      </c>
      <c r="O96" s="32"/>
      <c r="P96" s="36" t="str">
        <f aca="true">IF(OR(N96="",O96="Closed",O96="Done - to verify"),"",N96-TODAY())</f>
        <v/>
      </c>
      <c r="Q96" s="37" t="str">
        <f aca="true">IF(C96="","",IF(O96="Closed","Closed",IF(O96="Done - to verify","To verify",IF(O96="On hold","On hold",IF(N96="","Set target",IF(N96&lt;TODAY(),"OVERDUE",IF(N96-TODAY()&lt;=7,"Due soon","On track")))))))</f>
        <v/>
      </c>
      <c r="R96" s="30"/>
      <c r="S96" s="34"/>
      <c r="T96" s="30"/>
      <c r="U96" s="30"/>
      <c r="V96" s="30"/>
      <c r="W96" s="34"/>
      <c r="X96" s="30"/>
    </row>
    <row r="97" customFormat="false" ht="15" hidden="false" customHeight="false" outlineLevel="0" collapsed="false">
      <c r="A97" s="30"/>
      <c r="B97" s="30"/>
      <c r="C97" s="30"/>
      <c r="D97" s="32"/>
      <c r="E97" s="30"/>
      <c r="F97" s="30"/>
      <c r="G97" s="30"/>
      <c r="H97" s="30"/>
      <c r="I97" s="32"/>
      <c r="J97" s="30"/>
      <c r="K97" s="30"/>
      <c r="L97" s="34"/>
      <c r="M97" s="32"/>
      <c r="N97" s="35" t="str">
        <f aca="false">IF(OR(L97="",M97=""),"",L97+IFERROR(VLOOKUP(M97,Lists!$G$3:$H$20,2,FALSE()),0))</f>
        <v/>
      </c>
      <c r="O97" s="32"/>
      <c r="P97" s="36" t="str">
        <f aca="true">IF(OR(N97="",O97="Closed",O97="Done - to verify"),"",N97-TODAY())</f>
        <v/>
      </c>
      <c r="Q97" s="37" t="str">
        <f aca="true">IF(C97="","",IF(O97="Closed","Closed",IF(O97="Done - to verify","To verify",IF(O97="On hold","On hold",IF(N97="","Set target",IF(N97&lt;TODAY(),"OVERDUE",IF(N97-TODAY()&lt;=7,"Due soon","On track")))))))</f>
        <v/>
      </c>
      <c r="R97" s="30"/>
      <c r="S97" s="34"/>
      <c r="T97" s="30"/>
      <c r="U97" s="30"/>
      <c r="V97" s="30"/>
      <c r="W97" s="34"/>
      <c r="X97" s="30"/>
    </row>
    <row r="98" customFormat="false" ht="15" hidden="false" customHeight="false" outlineLevel="0" collapsed="false">
      <c r="A98" s="30"/>
      <c r="B98" s="30"/>
      <c r="C98" s="30"/>
      <c r="D98" s="32"/>
      <c r="E98" s="30"/>
      <c r="F98" s="30"/>
      <c r="G98" s="30"/>
      <c r="H98" s="30"/>
      <c r="I98" s="32"/>
      <c r="J98" s="30"/>
      <c r="K98" s="30"/>
      <c r="L98" s="34"/>
      <c r="M98" s="32"/>
      <c r="N98" s="35" t="str">
        <f aca="false">IF(OR(L98="",M98=""),"",L98+IFERROR(VLOOKUP(M98,Lists!$G$3:$H$20,2,FALSE()),0))</f>
        <v/>
      </c>
      <c r="O98" s="32"/>
      <c r="P98" s="36" t="str">
        <f aca="true">IF(OR(N98="",O98="Closed",O98="Done - to verify"),"",N98-TODAY())</f>
        <v/>
      </c>
      <c r="Q98" s="37" t="str">
        <f aca="true">IF(C98="","",IF(O98="Closed","Closed",IF(O98="Done - to verify","To verify",IF(O98="On hold","On hold",IF(N98="","Set target",IF(N98&lt;TODAY(),"OVERDUE",IF(N98-TODAY()&lt;=7,"Due soon","On track")))))))</f>
        <v/>
      </c>
      <c r="R98" s="30"/>
      <c r="S98" s="34"/>
      <c r="T98" s="30"/>
      <c r="U98" s="30"/>
      <c r="V98" s="30"/>
      <c r="W98" s="34"/>
      <c r="X98" s="30"/>
    </row>
    <row r="99" customFormat="false" ht="15" hidden="false" customHeight="false" outlineLevel="0" collapsed="false">
      <c r="A99" s="30"/>
      <c r="B99" s="30"/>
      <c r="C99" s="30"/>
      <c r="D99" s="32"/>
      <c r="E99" s="30"/>
      <c r="F99" s="30"/>
      <c r="G99" s="30"/>
      <c r="H99" s="30"/>
      <c r="I99" s="32"/>
      <c r="J99" s="30"/>
      <c r="K99" s="30"/>
      <c r="L99" s="34"/>
      <c r="M99" s="32"/>
      <c r="N99" s="35" t="str">
        <f aca="false">IF(OR(L99="",M99=""),"",L99+IFERROR(VLOOKUP(M99,Lists!$G$3:$H$20,2,FALSE()),0))</f>
        <v/>
      </c>
      <c r="O99" s="32"/>
      <c r="P99" s="36" t="str">
        <f aca="true">IF(OR(N99="",O99="Closed",O99="Done - to verify"),"",N99-TODAY())</f>
        <v/>
      </c>
      <c r="Q99" s="37" t="str">
        <f aca="true">IF(C99="","",IF(O99="Closed","Closed",IF(O99="Done - to verify","To verify",IF(O99="On hold","On hold",IF(N99="","Set target",IF(N99&lt;TODAY(),"OVERDUE",IF(N99-TODAY()&lt;=7,"Due soon","On track")))))))</f>
        <v/>
      </c>
      <c r="R99" s="30"/>
      <c r="S99" s="34"/>
      <c r="T99" s="30"/>
      <c r="U99" s="30"/>
      <c r="V99" s="30"/>
      <c r="W99" s="34"/>
      <c r="X99" s="30"/>
    </row>
    <row r="100" customFormat="false" ht="15" hidden="false" customHeight="false" outlineLevel="0" collapsed="false">
      <c r="A100" s="30"/>
      <c r="B100" s="30"/>
      <c r="C100" s="30"/>
      <c r="D100" s="32"/>
      <c r="E100" s="30"/>
      <c r="F100" s="30"/>
      <c r="G100" s="30"/>
      <c r="H100" s="30"/>
      <c r="I100" s="32"/>
      <c r="J100" s="30"/>
      <c r="K100" s="30"/>
      <c r="L100" s="34"/>
      <c r="M100" s="32"/>
      <c r="N100" s="35" t="str">
        <f aca="false">IF(OR(L100="",M100=""),"",L100+IFERROR(VLOOKUP(M100,Lists!$G$3:$H$20,2,FALSE()),0))</f>
        <v/>
      </c>
      <c r="O100" s="32"/>
      <c r="P100" s="36" t="str">
        <f aca="true">IF(OR(N100="",O100="Closed",O100="Done - to verify"),"",N100-TODAY())</f>
        <v/>
      </c>
      <c r="Q100" s="37" t="str">
        <f aca="true">IF(C100="","",IF(O100="Closed","Closed",IF(O100="Done - to verify","To verify",IF(O100="On hold","On hold",IF(N100="","Set target",IF(N100&lt;TODAY(),"OVERDUE",IF(N100-TODAY()&lt;=7,"Due soon","On track")))))))</f>
        <v/>
      </c>
      <c r="R100" s="30"/>
      <c r="S100" s="34"/>
      <c r="T100" s="30"/>
      <c r="U100" s="30"/>
      <c r="V100" s="30"/>
      <c r="W100" s="34"/>
      <c r="X100" s="30"/>
    </row>
    <row r="101" customFormat="false" ht="15" hidden="false" customHeight="false" outlineLevel="0" collapsed="false">
      <c r="A101" s="30"/>
      <c r="B101" s="30"/>
      <c r="C101" s="30"/>
      <c r="D101" s="32"/>
      <c r="E101" s="30"/>
      <c r="F101" s="30"/>
      <c r="G101" s="30"/>
      <c r="H101" s="30"/>
      <c r="I101" s="32"/>
      <c r="J101" s="30"/>
      <c r="K101" s="30"/>
      <c r="L101" s="34"/>
      <c r="M101" s="32"/>
      <c r="N101" s="35" t="str">
        <f aca="false">IF(OR(L101="",M101=""),"",L101+IFERROR(VLOOKUP(M101,Lists!$G$3:$H$20,2,FALSE()),0))</f>
        <v/>
      </c>
      <c r="O101" s="32"/>
      <c r="P101" s="36" t="str">
        <f aca="true">IF(OR(N101="",O101="Closed",O101="Done - to verify"),"",N101-TODAY())</f>
        <v/>
      </c>
      <c r="Q101" s="37" t="str">
        <f aca="true">IF(C101="","",IF(O101="Closed","Closed",IF(O101="Done - to verify","To verify",IF(O101="On hold","On hold",IF(N101="","Set target",IF(N101&lt;TODAY(),"OVERDUE",IF(N101-TODAY()&lt;=7,"Due soon","On track")))))))</f>
        <v/>
      </c>
      <c r="R101" s="30"/>
      <c r="S101" s="34"/>
      <c r="T101" s="30"/>
      <c r="U101" s="30"/>
      <c r="V101" s="30"/>
      <c r="W101" s="34"/>
      <c r="X101" s="30"/>
    </row>
    <row r="102" customFormat="false" ht="15" hidden="false" customHeight="false" outlineLevel="0" collapsed="false">
      <c r="A102" s="30"/>
      <c r="B102" s="30"/>
      <c r="C102" s="30"/>
      <c r="D102" s="32"/>
      <c r="E102" s="30"/>
      <c r="F102" s="30"/>
      <c r="G102" s="30"/>
      <c r="H102" s="30"/>
      <c r="I102" s="32"/>
      <c r="J102" s="30"/>
      <c r="K102" s="30"/>
      <c r="L102" s="34"/>
      <c r="M102" s="32"/>
      <c r="N102" s="35" t="str">
        <f aca="false">IF(OR(L102="",M102=""),"",L102+IFERROR(VLOOKUP(M102,Lists!$G$3:$H$20,2,FALSE()),0))</f>
        <v/>
      </c>
      <c r="O102" s="32"/>
      <c r="P102" s="36" t="str">
        <f aca="true">IF(OR(N102="",O102="Closed",O102="Done - to verify"),"",N102-TODAY())</f>
        <v/>
      </c>
      <c r="Q102" s="37" t="str">
        <f aca="true">IF(C102="","",IF(O102="Closed","Closed",IF(O102="Done - to verify","To verify",IF(O102="On hold","On hold",IF(N102="","Set target",IF(N102&lt;TODAY(),"OVERDUE",IF(N102-TODAY()&lt;=7,"Due soon","On track")))))))</f>
        <v/>
      </c>
      <c r="R102" s="30"/>
      <c r="S102" s="34"/>
      <c r="T102" s="30"/>
      <c r="U102" s="30"/>
      <c r="V102" s="30"/>
      <c r="W102" s="34"/>
      <c r="X102" s="30"/>
    </row>
    <row r="103" customFormat="false" ht="15" hidden="false" customHeight="false" outlineLevel="0" collapsed="false">
      <c r="A103" s="30"/>
      <c r="B103" s="30"/>
      <c r="C103" s="30"/>
      <c r="D103" s="32"/>
      <c r="E103" s="30"/>
      <c r="F103" s="30"/>
      <c r="G103" s="30"/>
      <c r="H103" s="30"/>
      <c r="I103" s="32"/>
      <c r="J103" s="30"/>
      <c r="K103" s="30"/>
      <c r="L103" s="34"/>
      <c r="M103" s="32"/>
      <c r="N103" s="35" t="str">
        <f aca="false">IF(OR(L103="",M103=""),"",L103+IFERROR(VLOOKUP(M103,Lists!$G$3:$H$20,2,FALSE()),0))</f>
        <v/>
      </c>
      <c r="O103" s="32"/>
      <c r="P103" s="36" t="str">
        <f aca="true">IF(OR(N103="",O103="Closed",O103="Done - to verify"),"",N103-TODAY())</f>
        <v/>
      </c>
      <c r="Q103" s="37" t="str">
        <f aca="true">IF(C103="","",IF(O103="Closed","Closed",IF(O103="Done - to verify","To verify",IF(O103="On hold","On hold",IF(N103="","Set target",IF(N103&lt;TODAY(),"OVERDUE",IF(N103-TODAY()&lt;=7,"Due soon","On track")))))))</f>
        <v/>
      </c>
      <c r="R103" s="30"/>
      <c r="S103" s="34"/>
      <c r="T103" s="30"/>
      <c r="U103" s="30"/>
      <c r="V103" s="30"/>
      <c r="W103" s="34"/>
      <c r="X103" s="30"/>
    </row>
    <row r="104" customFormat="false" ht="15" hidden="false" customHeight="false" outlineLevel="0" collapsed="false">
      <c r="A104" s="30"/>
      <c r="B104" s="30"/>
      <c r="C104" s="30"/>
      <c r="D104" s="32"/>
      <c r="E104" s="30"/>
      <c r="F104" s="30"/>
      <c r="G104" s="30"/>
      <c r="H104" s="30"/>
      <c r="I104" s="32"/>
      <c r="J104" s="30"/>
      <c r="K104" s="30"/>
      <c r="L104" s="34"/>
      <c r="M104" s="32"/>
      <c r="N104" s="35" t="str">
        <f aca="false">IF(OR(L104="",M104=""),"",L104+IFERROR(VLOOKUP(M104,Lists!$G$3:$H$20,2,FALSE()),0))</f>
        <v/>
      </c>
      <c r="O104" s="32"/>
      <c r="P104" s="36" t="str">
        <f aca="true">IF(OR(N104="",O104="Closed",O104="Done - to verify"),"",N104-TODAY())</f>
        <v/>
      </c>
      <c r="Q104" s="37" t="str">
        <f aca="true">IF(C104="","",IF(O104="Closed","Closed",IF(O104="Done - to verify","To verify",IF(O104="On hold","On hold",IF(N104="","Set target",IF(N104&lt;TODAY(),"OVERDUE",IF(N104-TODAY()&lt;=7,"Due soon","On track")))))))</f>
        <v/>
      </c>
      <c r="R104" s="30"/>
      <c r="S104" s="34"/>
      <c r="T104" s="30"/>
      <c r="U104" s="30"/>
      <c r="V104" s="30"/>
      <c r="W104" s="34"/>
      <c r="X104" s="30"/>
    </row>
    <row r="105" customFormat="false" ht="15" hidden="false" customHeight="false" outlineLevel="0" collapsed="false">
      <c r="A105" s="30"/>
      <c r="B105" s="30"/>
      <c r="C105" s="30"/>
      <c r="D105" s="32"/>
      <c r="E105" s="30"/>
      <c r="F105" s="30"/>
      <c r="G105" s="30"/>
      <c r="H105" s="30"/>
      <c r="I105" s="32"/>
      <c r="J105" s="30"/>
      <c r="K105" s="30"/>
      <c r="L105" s="34"/>
      <c r="M105" s="32"/>
      <c r="N105" s="35" t="str">
        <f aca="false">IF(OR(L105="",M105=""),"",L105+IFERROR(VLOOKUP(M105,Lists!$G$3:$H$20,2,FALSE()),0))</f>
        <v/>
      </c>
      <c r="O105" s="32"/>
      <c r="P105" s="36" t="str">
        <f aca="true">IF(OR(N105="",O105="Closed",O105="Done - to verify"),"",N105-TODAY())</f>
        <v/>
      </c>
      <c r="Q105" s="37" t="str">
        <f aca="true">IF(C105="","",IF(O105="Closed","Closed",IF(O105="Done - to verify","To verify",IF(O105="On hold","On hold",IF(N105="","Set target",IF(N105&lt;TODAY(),"OVERDUE",IF(N105-TODAY()&lt;=7,"Due soon","On track")))))))</f>
        <v/>
      </c>
      <c r="R105" s="30"/>
      <c r="S105" s="34"/>
      <c r="T105" s="30"/>
      <c r="U105" s="30"/>
      <c r="V105" s="30"/>
      <c r="W105" s="34"/>
      <c r="X105" s="30"/>
    </row>
    <row r="106" customFormat="false" ht="15" hidden="false" customHeight="false" outlineLevel="0" collapsed="false">
      <c r="A106" s="30"/>
      <c r="B106" s="30"/>
      <c r="C106" s="30"/>
      <c r="D106" s="32"/>
      <c r="E106" s="30"/>
      <c r="F106" s="30"/>
      <c r="G106" s="30"/>
      <c r="H106" s="30"/>
      <c r="I106" s="32"/>
      <c r="J106" s="30"/>
      <c r="K106" s="30"/>
      <c r="L106" s="34"/>
      <c r="M106" s="32"/>
      <c r="N106" s="35" t="str">
        <f aca="false">IF(OR(L106="",M106=""),"",L106+IFERROR(VLOOKUP(M106,Lists!$G$3:$H$20,2,FALSE()),0))</f>
        <v/>
      </c>
      <c r="O106" s="32"/>
      <c r="P106" s="36" t="str">
        <f aca="true">IF(OR(N106="",O106="Closed",O106="Done - to verify"),"",N106-TODAY())</f>
        <v/>
      </c>
      <c r="Q106" s="37" t="str">
        <f aca="true">IF(C106="","",IF(O106="Closed","Closed",IF(O106="Done - to verify","To verify",IF(O106="On hold","On hold",IF(N106="","Set target",IF(N106&lt;TODAY(),"OVERDUE",IF(N106-TODAY()&lt;=7,"Due soon","On track")))))))</f>
        <v/>
      </c>
      <c r="R106" s="30"/>
      <c r="S106" s="34"/>
      <c r="T106" s="30"/>
      <c r="U106" s="30"/>
      <c r="V106" s="30"/>
      <c r="W106" s="34"/>
      <c r="X106" s="30"/>
    </row>
    <row r="107" customFormat="false" ht="15" hidden="false" customHeight="false" outlineLevel="0" collapsed="false">
      <c r="A107" s="30"/>
      <c r="B107" s="30"/>
      <c r="C107" s="30"/>
      <c r="D107" s="32"/>
      <c r="E107" s="30"/>
      <c r="F107" s="30"/>
      <c r="G107" s="30"/>
      <c r="H107" s="30"/>
      <c r="I107" s="32"/>
      <c r="J107" s="30"/>
      <c r="K107" s="30"/>
      <c r="L107" s="34"/>
      <c r="M107" s="32"/>
      <c r="N107" s="35" t="str">
        <f aca="false">IF(OR(L107="",M107=""),"",L107+IFERROR(VLOOKUP(M107,Lists!$G$3:$H$20,2,FALSE()),0))</f>
        <v/>
      </c>
      <c r="O107" s="32"/>
      <c r="P107" s="36" t="str">
        <f aca="true">IF(OR(N107="",O107="Closed",O107="Done - to verify"),"",N107-TODAY())</f>
        <v/>
      </c>
      <c r="Q107" s="37" t="str">
        <f aca="true">IF(C107="","",IF(O107="Closed","Closed",IF(O107="Done - to verify","To verify",IF(O107="On hold","On hold",IF(N107="","Set target",IF(N107&lt;TODAY(),"OVERDUE",IF(N107-TODAY()&lt;=7,"Due soon","On track")))))))</f>
        <v/>
      </c>
      <c r="R107" s="30"/>
      <c r="S107" s="34"/>
      <c r="T107" s="30"/>
      <c r="U107" s="30"/>
      <c r="V107" s="30"/>
      <c r="W107" s="34"/>
      <c r="X107" s="30"/>
    </row>
    <row r="108" customFormat="false" ht="15" hidden="false" customHeight="false" outlineLevel="0" collapsed="false">
      <c r="A108" s="30"/>
      <c r="B108" s="30"/>
      <c r="C108" s="30"/>
      <c r="D108" s="32"/>
      <c r="E108" s="30"/>
      <c r="F108" s="30"/>
      <c r="G108" s="30"/>
      <c r="H108" s="30"/>
      <c r="I108" s="32"/>
      <c r="J108" s="30"/>
      <c r="K108" s="30"/>
      <c r="L108" s="34"/>
      <c r="M108" s="32"/>
      <c r="N108" s="35" t="str">
        <f aca="false">IF(OR(L108="",M108=""),"",L108+IFERROR(VLOOKUP(M108,Lists!$G$3:$H$20,2,FALSE()),0))</f>
        <v/>
      </c>
      <c r="O108" s="32"/>
      <c r="P108" s="36" t="str">
        <f aca="true">IF(OR(N108="",O108="Closed",O108="Done - to verify"),"",N108-TODAY())</f>
        <v/>
      </c>
      <c r="Q108" s="37" t="str">
        <f aca="true">IF(C108="","",IF(O108="Closed","Closed",IF(O108="Done - to verify","To verify",IF(O108="On hold","On hold",IF(N108="","Set target",IF(N108&lt;TODAY(),"OVERDUE",IF(N108-TODAY()&lt;=7,"Due soon","On track")))))))</f>
        <v/>
      </c>
      <c r="R108" s="30"/>
      <c r="S108" s="34"/>
      <c r="T108" s="30"/>
      <c r="U108" s="30"/>
      <c r="V108" s="30"/>
      <c r="W108" s="34"/>
      <c r="X108" s="30"/>
    </row>
    <row r="109" customFormat="false" ht="15" hidden="false" customHeight="false" outlineLevel="0" collapsed="false">
      <c r="A109" s="30"/>
      <c r="B109" s="30"/>
      <c r="C109" s="30"/>
      <c r="D109" s="32"/>
      <c r="E109" s="30"/>
      <c r="F109" s="30"/>
      <c r="G109" s="30"/>
      <c r="H109" s="30"/>
      <c r="I109" s="32"/>
      <c r="J109" s="30"/>
      <c r="K109" s="30"/>
      <c r="L109" s="34"/>
      <c r="M109" s="32"/>
      <c r="N109" s="35" t="str">
        <f aca="false">IF(OR(L109="",M109=""),"",L109+IFERROR(VLOOKUP(M109,Lists!$G$3:$H$20,2,FALSE()),0))</f>
        <v/>
      </c>
      <c r="O109" s="32"/>
      <c r="P109" s="36" t="str">
        <f aca="true">IF(OR(N109="",O109="Closed",O109="Done - to verify"),"",N109-TODAY())</f>
        <v/>
      </c>
      <c r="Q109" s="37" t="str">
        <f aca="true">IF(C109="","",IF(O109="Closed","Closed",IF(O109="Done - to verify","To verify",IF(O109="On hold","On hold",IF(N109="","Set target",IF(N109&lt;TODAY(),"OVERDUE",IF(N109-TODAY()&lt;=7,"Due soon","On track")))))))</f>
        <v/>
      </c>
      <c r="R109" s="30"/>
      <c r="S109" s="34"/>
      <c r="T109" s="30"/>
      <c r="U109" s="30"/>
      <c r="V109" s="30"/>
      <c r="W109" s="34"/>
      <c r="X109" s="30"/>
    </row>
    <row r="110" customFormat="false" ht="15" hidden="false" customHeight="false" outlineLevel="0" collapsed="false">
      <c r="A110" s="30"/>
      <c r="B110" s="30"/>
      <c r="C110" s="30"/>
      <c r="D110" s="32"/>
      <c r="E110" s="30"/>
      <c r="F110" s="30"/>
      <c r="G110" s="30"/>
      <c r="H110" s="30"/>
      <c r="I110" s="32"/>
      <c r="J110" s="30"/>
      <c r="K110" s="30"/>
      <c r="L110" s="34"/>
      <c r="M110" s="32"/>
      <c r="N110" s="35" t="str">
        <f aca="false">IF(OR(L110="",M110=""),"",L110+IFERROR(VLOOKUP(M110,Lists!$G$3:$H$20,2,FALSE()),0))</f>
        <v/>
      </c>
      <c r="O110" s="32"/>
      <c r="P110" s="36" t="str">
        <f aca="true">IF(OR(N110="",O110="Closed",O110="Done - to verify"),"",N110-TODAY())</f>
        <v/>
      </c>
      <c r="Q110" s="37" t="str">
        <f aca="true">IF(C110="","",IF(O110="Closed","Closed",IF(O110="Done - to verify","To verify",IF(O110="On hold","On hold",IF(N110="","Set target",IF(N110&lt;TODAY(),"OVERDUE",IF(N110-TODAY()&lt;=7,"Due soon","On track")))))))</f>
        <v/>
      </c>
      <c r="R110" s="30"/>
      <c r="S110" s="34"/>
      <c r="T110" s="30"/>
      <c r="U110" s="30"/>
      <c r="V110" s="30"/>
      <c r="W110" s="34"/>
      <c r="X110" s="30"/>
    </row>
    <row r="111" customFormat="false" ht="15" hidden="false" customHeight="false" outlineLevel="0" collapsed="false">
      <c r="A111" s="30"/>
      <c r="B111" s="30"/>
      <c r="C111" s="30"/>
      <c r="D111" s="32"/>
      <c r="E111" s="30"/>
      <c r="F111" s="30"/>
      <c r="G111" s="30"/>
      <c r="H111" s="30"/>
      <c r="I111" s="32"/>
      <c r="J111" s="30"/>
      <c r="K111" s="30"/>
      <c r="L111" s="34"/>
      <c r="M111" s="32"/>
      <c r="N111" s="35" t="str">
        <f aca="false">IF(OR(L111="",M111=""),"",L111+IFERROR(VLOOKUP(M111,Lists!$G$3:$H$20,2,FALSE()),0))</f>
        <v/>
      </c>
      <c r="O111" s="32"/>
      <c r="P111" s="36" t="str">
        <f aca="true">IF(OR(N111="",O111="Closed",O111="Done - to verify"),"",N111-TODAY())</f>
        <v/>
      </c>
      <c r="Q111" s="37" t="str">
        <f aca="true">IF(C111="","",IF(O111="Closed","Closed",IF(O111="Done - to verify","To verify",IF(O111="On hold","On hold",IF(N111="","Set target",IF(N111&lt;TODAY(),"OVERDUE",IF(N111-TODAY()&lt;=7,"Due soon","On track")))))))</f>
        <v/>
      </c>
      <c r="R111" s="30"/>
      <c r="S111" s="34"/>
      <c r="T111" s="30"/>
      <c r="U111" s="30"/>
      <c r="V111" s="30"/>
      <c r="W111" s="34"/>
      <c r="X111" s="30"/>
    </row>
    <row r="112" customFormat="false" ht="15" hidden="false" customHeight="false" outlineLevel="0" collapsed="false">
      <c r="A112" s="30"/>
      <c r="B112" s="30"/>
      <c r="C112" s="30"/>
      <c r="D112" s="32"/>
      <c r="E112" s="30"/>
      <c r="F112" s="30"/>
      <c r="G112" s="30"/>
      <c r="H112" s="30"/>
      <c r="I112" s="32"/>
      <c r="J112" s="30"/>
      <c r="K112" s="30"/>
      <c r="L112" s="34"/>
      <c r="M112" s="32"/>
      <c r="N112" s="35" t="str">
        <f aca="false">IF(OR(L112="",M112=""),"",L112+IFERROR(VLOOKUP(M112,Lists!$G$3:$H$20,2,FALSE()),0))</f>
        <v/>
      </c>
      <c r="O112" s="32"/>
      <c r="P112" s="36" t="str">
        <f aca="true">IF(OR(N112="",O112="Closed",O112="Done - to verify"),"",N112-TODAY())</f>
        <v/>
      </c>
      <c r="Q112" s="37" t="str">
        <f aca="true">IF(C112="","",IF(O112="Closed","Closed",IF(O112="Done - to verify","To verify",IF(O112="On hold","On hold",IF(N112="","Set target",IF(N112&lt;TODAY(),"OVERDUE",IF(N112-TODAY()&lt;=7,"Due soon","On track")))))))</f>
        <v/>
      </c>
      <c r="R112" s="30"/>
      <c r="S112" s="34"/>
      <c r="T112" s="30"/>
      <c r="U112" s="30"/>
      <c r="V112" s="30"/>
      <c r="W112" s="34"/>
      <c r="X112" s="30"/>
    </row>
    <row r="113" customFormat="false" ht="15" hidden="false" customHeight="false" outlineLevel="0" collapsed="false">
      <c r="A113" s="30"/>
      <c r="B113" s="30"/>
      <c r="C113" s="30"/>
      <c r="D113" s="32"/>
      <c r="E113" s="30"/>
      <c r="F113" s="30"/>
      <c r="G113" s="30"/>
      <c r="H113" s="30"/>
      <c r="I113" s="32"/>
      <c r="J113" s="30"/>
      <c r="K113" s="30"/>
      <c r="L113" s="34"/>
      <c r="M113" s="32"/>
      <c r="N113" s="35" t="str">
        <f aca="false">IF(OR(L113="",M113=""),"",L113+IFERROR(VLOOKUP(M113,Lists!$G$3:$H$20,2,FALSE()),0))</f>
        <v/>
      </c>
      <c r="O113" s="32"/>
      <c r="P113" s="36" t="str">
        <f aca="true">IF(OR(N113="",O113="Closed",O113="Done - to verify"),"",N113-TODAY())</f>
        <v/>
      </c>
      <c r="Q113" s="37" t="str">
        <f aca="true">IF(C113="","",IF(O113="Closed","Closed",IF(O113="Done - to verify","To verify",IF(O113="On hold","On hold",IF(N113="","Set target",IF(N113&lt;TODAY(),"OVERDUE",IF(N113-TODAY()&lt;=7,"Due soon","On track")))))))</f>
        <v/>
      </c>
      <c r="R113" s="30"/>
      <c r="S113" s="34"/>
      <c r="T113" s="30"/>
      <c r="U113" s="30"/>
      <c r="V113" s="30"/>
      <c r="W113" s="34"/>
      <c r="X113" s="30"/>
    </row>
    <row r="114" customFormat="false" ht="15" hidden="false" customHeight="false" outlineLevel="0" collapsed="false">
      <c r="A114" s="30"/>
      <c r="B114" s="30"/>
      <c r="C114" s="30"/>
      <c r="D114" s="32"/>
      <c r="E114" s="30"/>
      <c r="F114" s="30"/>
      <c r="G114" s="30"/>
      <c r="H114" s="30"/>
      <c r="I114" s="32"/>
      <c r="J114" s="30"/>
      <c r="K114" s="30"/>
      <c r="L114" s="34"/>
      <c r="M114" s="32"/>
      <c r="N114" s="35" t="str">
        <f aca="false">IF(OR(L114="",M114=""),"",L114+IFERROR(VLOOKUP(M114,Lists!$G$3:$H$20,2,FALSE()),0))</f>
        <v/>
      </c>
      <c r="O114" s="32"/>
      <c r="P114" s="36" t="str">
        <f aca="true">IF(OR(N114="",O114="Closed",O114="Done - to verify"),"",N114-TODAY())</f>
        <v/>
      </c>
      <c r="Q114" s="37" t="str">
        <f aca="true">IF(C114="","",IF(O114="Closed","Closed",IF(O114="Done - to verify","To verify",IF(O114="On hold","On hold",IF(N114="","Set target",IF(N114&lt;TODAY(),"OVERDUE",IF(N114-TODAY()&lt;=7,"Due soon","On track")))))))</f>
        <v/>
      </c>
      <c r="R114" s="30"/>
      <c r="S114" s="34"/>
      <c r="T114" s="30"/>
      <c r="U114" s="30"/>
      <c r="V114" s="30"/>
      <c r="W114" s="34"/>
      <c r="X114" s="30"/>
    </row>
    <row r="115" customFormat="false" ht="15" hidden="false" customHeight="false" outlineLevel="0" collapsed="false">
      <c r="A115" s="30"/>
      <c r="B115" s="30"/>
      <c r="C115" s="30"/>
      <c r="D115" s="32"/>
      <c r="E115" s="30"/>
      <c r="F115" s="30"/>
      <c r="G115" s="30"/>
      <c r="H115" s="30"/>
      <c r="I115" s="32"/>
      <c r="J115" s="30"/>
      <c r="K115" s="30"/>
      <c r="L115" s="34"/>
      <c r="M115" s="32"/>
      <c r="N115" s="35" t="str">
        <f aca="false">IF(OR(L115="",M115=""),"",L115+IFERROR(VLOOKUP(M115,Lists!$G$3:$H$20,2,FALSE()),0))</f>
        <v/>
      </c>
      <c r="O115" s="32"/>
      <c r="P115" s="36" t="str">
        <f aca="true">IF(OR(N115="",O115="Closed",O115="Done - to verify"),"",N115-TODAY())</f>
        <v/>
      </c>
      <c r="Q115" s="37" t="str">
        <f aca="true">IF(C115="","",IF(O115="Closed","Closed",IF(O115="Done - to verify","To verify",IF(O115="On hold","On hold",IF(N115="","Set target",IF(N115&lt;TODAY(),"OVERDUE",IF(N115-TODAY()&lt;=7,"Due soon","On track")))))))</f>
        <v/>
      </c>
      <c r="R115" s="30"/>
      <c r="S115" s="34"/>
      <c r="T115" s="30"/>
      <c r="U115" s="30"/>
      <c r="V115" s="30"/>
      <c r="W115" s="34"/>
      <c r="X115" s="30"/>
    </row>
    <row r="116" customFormat="false" ht="15" hidden="false" customHeight="false" outlineLevel="0" collapsed="false">
      <c r="A116" s="30"/>
      <c r="B116" s="30"/>
      <c r="C116" s="30"/>
      <c r="D116" s="32"/>
      <c r="E116" s="30"/>
      <c r="F116" s="30"/>
      <c r="G116" s="30"/>
      <c r="H116" s="30"/>
      <c r="I116" s="32"/>
      <c r="J116" s="30"/>
      <c r="K116" s="30"/>
      <c r="L116" s="34"/>
      <c r="M116" s="32"/>
      <c r="N116" s="35" t="str">
        <f aca="false">IF(OR(L116="",M116=""),"",L116+IFERROR(VLOOKUP(M116,Lists!$G$3:$H$20,2,FALSE()),0))</f>
        <v/>
      </c>
      <c r="O116" s="32"/>
      <c r="P116" s="36" t="str">
        <f aca="true">IF(OR(N116="",O116="Closed",O116="Done - to verify"),"",N116-TODAY())</f>
        <v/>
      </c>
      <c r="Q116" s="37" t="str">
        <f aca="true">IF(C116="","",IF(O116="Closed","Closed",IF(O116="Done - to verify","To verify",IF(O116="On hold","On hold",IF(N116="","Set target",IF(N116&lt;TODAY(),"OVERDUE",IF(N116-TODAY()&lt;=7,"Due soon","On track")))))))</f>
        <v/>
      </c>
      <c r="R116" s="30"/>
      <c r="S116" s="34"/>
      <c r="T116" s="30"/>
      <c r="U116" s="30"/>
      <c r="V116" s="30"/>
      <c r="W116" s="34"/>
      <c r="X116" s="30"/>
    </row>
    <row r="117" customFormat="false" ht="15" hidden="false" customHeight="false" outlineLevel="0" collapsed="false">
      <c r="A117" s="30"/>
      <c r="B117" s="30"/>
      <c r="C117" s="30"/>
      <c r="D117" s="32"/>
      <c r="E117" s="30"/>
      <c r="F117" s="30"/>
      <c r="G117" s="30"/>
      <c r="H117" s="30"/>
      <c r="I117" s="32"/>
      <c r="J117" s="30"/>
      <c r="K117" s="30"/>
      <c r="L117" s="34"/>
      <c r="M117" s="32"/>
      <c r="N117" s="35" t="str">
        <f aca="false">IF(OR(L117="",M117=""),"",L117+IFERROR(VLOOKUP(M117,Lists!$G$3:$H$20,2,FALSE()),0))</f>
        <v/>
      </c>
      <c r="O117" s="32"/>
      <c r="P117" s="36" t="str">
        <f aca="true">IF(OR(N117="",O117="Closed",O117="Done - to verify"),"",N117-TODAY())</f>
        <v/>
      </c>
      <c r="Q117" s="37" t="str">
        <f aca="true">IF(C117="","",IF(O117="Closed","Closed",IF(O117="Done - to verify","To verify",IF(O117="On hold","On hold",IF(N117="","Set target",IF(N117&lt;TODAY(),"OVERDUE",IF(N117-TODAY()&lt;=7,"Due soon","On track")))))))</f>
        <v/>
      </c>
      <c r="R117" s="30"/>
      <c r="S117" s="34"/>
      <c r="T117" s="30"/>
      <c r="U117" s="30"/>
      <c r="V117" s="30"/>
      <c r="W117" s="34"/>
      <c r="X117" s="30"/>
    </row>
    <row r="118" customFormat="false" ht="15" hidden="false" customHeight="false" outlineLevel="0" collapsed="false">
      <c r="A118" s="30"/>
      <c r="B118" s="30"/>
      <c r="C118" s="30"/>
      <c r="D118" s="32"/>
      <c r="E118" s="30"/>
      <c r="F118" s="30"/>
      <c r="G118" s="30"/>
      <c r="H118" s="30"/>
      <c r="I118" s="32"/>
      <c r="J118" s="30"/>
      <c r="K118" s="30"/>
      <c r="L118" s="34"/>
      <c r="M118" s="32"/>
      <c r="N118" s="35" t="str">
        <f aca="false">IF(OR(L118="",M118=""),"",L118+IFERROR(VLOOKUP(M118,Lists!$G$3:$H$20,2,FALSE()),0))</f>
        <v/>
      </c>
      <c r="O118" s="32"/>
      <c r="P118" s="36" t="str">
        <f aca="true">IF(OR(N118="",O118="Closed",O118="Done - to verify"),"",N118-TODAY())</f>
        <v/>
      </c>
      <c r="Q118" s="37" t="str">
        <f aca="true">IF(C118="","",IF(O118="Closed","Closed",IF(O118="Done - to verify","To verify",IF(O118="On hold","On hold",IF(N118="","Set target",IF(N118&lt;TODAY(),"OVERDUE",IF(N118-TODAY()&lt;=7,"Due soon","On track")))))))</f>
        <v/>
      </c>
      <c r="R118" s="30"/>
      <c r="S118" s="34"/>
      <c r="T118" s="30"/>
      <c r="U118" s="30"/>
      <c r="V118" s="30"/>
      <c r="W118" s="34"/>
      <c r="X118" s="30"/>
    </row>
    <row r="119" customFormat="false" ht="15" hidden="false" customHeight="false" outlineLevel="0" collapsed="false">
      <c r="A119" s="30"/>
      <c r="B119" s="30"/>
      <c r="C119" s="30"/>
      <c r="D119" s="32"/>
      <c r="E119" s="30"/>
      <c r="F119" s="30"/>
      <c r="G119" s="30"/>
      <c r="H119" s="30"/>
      <c r="I119" s="32"/>
      <c r="J119" s="30"/>
      <c r="K119" s="30"/>
      <c r="L119" s="34"/>
      <c r="M119" s="32"/>
      <c r="N119" s="35" t="str">
        <f aca="false">IF(OR(L119="",M119=""),"",L119+IFERROR(VLOOKUP(M119,Lists!$G$3:$H$20,2,FALSE()),0))</f>
        <v/>
      </c>
      <c r="O119" s="32"/>
      <c r="P119" s="36" t="str">
        <f aca="true">IF(OR(N119="",O119="Closed",O119="Done - to verify"),"",N119-TODAY())</f>
        <v/>
      </c>
      <c r="Q119" s="37" t="str">
        <f aca="true">IF(C119="","",IF(O119="Closed","Closed",IF(O119="Done - to verify","To verify",IF(O119="On hold","On hold",IF(N119="","Set target",IF(N119&lt;TODAY(),"OVERDUE",IF(N119-TODAY()&lt;=7,"Due soon","On track")))))))</f>
        <v/>
      </c>
      <c r="R119" s="30"/>
      <c r="S119" s="34"/>
      <c r="T119" s="30"/>
      <c r="U119" s="30"/>
      <c r="V119" s="30"/>
      <c r="W119" s="34"/>
      <c r="X119" s="30"/>
    </row>
    <row r="120" customFormat="false" ht="15" hidden="false" customHeight="false" outlineLevel="0" collapsed="false">
      <c r="A120" s="30"/>
      <c r="B120" s="30"/>
      <c r="C120" s="30"/>
      <c r="D120" s="32"/>
      <c r="E120" s="30"/>
      <c r="F120" s="30"/>
      <c r="G120" s="30"/>
      <c r="H120" s="30"/>
      <c r="I120" s="32"/>
      <c r="J120" s="30"/>
      <c r="K120" s="30"/>
      <c r="L120" s="34"/>
      <c r="M120" s="32"/>
      <c r="N120" s="35" t="str">
        <f aca="false">IF(OR(L120="",M120=""),"",L120+IFERROR(VLOOKUP(M120,Lists!$G$3:$H$20,2,FALSE()),0))</f>
        <v/>
      </c>
      <c r="O120" s="32"/>
      <c r="P120" s="36" t="str">
        <f aca="true">IF(OR(N120="",O120="Closed",O120="Done - to verify"),"",N120-TODAY())</f>
        <v/>
      </c>
      <c r="Q120" s="37" t="str">
        <f aca="true">IF(C120="","",IF(O120="Closed","Closed",IF(O120="Done - to verify","To verify",IF(O120="On hold","On hold",IF(N120="","Set target",IF(N120&lt;TODAY(),"OVERDUE",IF(N120-TODAY()&lt;=7,"Due soon","On track")))))))</f>
        <v/>
      </c>
      <c r="R120" s="30"/>
      <c r="S120" s="34"/>
      <c r="T120" s="30"/>
      <c r="U120" s="30"/>
      <c r="V120" s="30"/>
      <c r="W120" s="34"/>
      <c r="X120" s="30"/>
    </row>
    <row r="121" customFormat="false" ht="15" hidden="false" customHeight="false" outlineLevel="0" collapsed="false">
      <c r="A121" s="30"/>
      <c r="B121" s="30"/>
      <c r="C121" s="30"/>
      <c r="D121" s="32"/>
      <c r="E121" s="30"/>
      <c r="F121" s="30"/>
      <c r="G121" s="30"/>
      <c r="H121" s="30"/>
      <c r="I121" s="32"/>
      <c r="J121" s="30"/>
      <c r="K121" s="30"/>
      <c r="L121" s="34"/>
      <c r="M121" s="32"/>
      <c r="N121" s="35" t="str">
        <f aca="false">IF(OR(L121="",M121=""),"",L121+IFERROR(VLOOKUP(M121,Lists!$G$3:$H$20,2,FALSE()),0))</f>
        <v/>
      </c>
      <c r="O121" s="32"/>
      <c r="P121" s="36" t="str">
        <f aca="true">IF(OR(N121="",O121="Closed",O121="Done - to verify"),"",N121-TODAY())</f>
        <v/>
      </c>
      <c r="Q121" s="37" t="str">
        <f aca="true">IF(C121="","",IF(O121="Closed","Closed",IF(O121="Done - to verify","To verify",IF(O121="On hold","On hold",IF(N121="","Set target",IF(N121&lt;TODAY(),"OVERDUE",IF(N121-TODAY()&lt;=7,"Due soon","On track")))))))</f>
        <v/>
      </c>
      <c r="R121" s="30"/>
      <c r="S121" s="34"/>
      <c r="T121" s="30"/>
      <c r="U121" s="30"/>
      <c r="V121" s="30"/>
      <c r="W121" s="34"/>
      <c r="X121" s="30"/>
    </row>
    <row r="122" customFormat="false" ht="15" hidden="false" customHeight="false" outlineLevel="0" collapsed="false">
      <c r="A122" s="30"/>
      <c r="B122" s="30"/>
      <c r="C122" s="30"/>
      <c r="D122" s="32"/>
      <c r="E122" s="30"/>
      <c r="F122" s="30"/>
      <c r="G122" s="30"/>
      <c r="H122" s="30"/>
      <c r="I122" s="32"/>
      <c r="J122" s="30"/>
      <c r="K122" s="30"/>
      <c r="L122" s="34"/>
      <c r="M122" s="32"/>
      <c r="N122" s="35" t="str">
        <f aca="false">IF(OR(L122="",M122=""),"",L122+IFERROR(VLOOKUP(M122,Lists!$G$3:$H$20,2,FALSE()),0))</f>
        <v/>
      </c>
      <c r="O122" s="32"/>
      <c r="P122" s="36" t="str">
        <f aca="true">IF(OR(N122="",O122="Closed",O122="Done - to verify"),"",N122-TODAY())</f>
        <v/>
      </c>
      <c r="Q122" s="37" t="str">
        <f aca="true">IF(C122="","",IF(O122="Closed","Closed",IF(O122="Done - to verify","To verify",IF(O122="On hold","On hold",IF(N122="","Set target",IF(N122&lt;TODAY(),"OVERDUE",IF(N122-TODAY()&lt;=7,"Due soon","On track")))))))</f>
        <v/>
      </c>
      <c r="R122" s="30"/>
      <c r="S122" s="34"/>
      <c r="T122" s="30"/>
      <c r="U122" s="30"/>
      <c r="V122" s="30"/>
      <c r="W122" s="34"/>
      <c r="X122" s="30"/>
    </row>
    <row r="123" customFormat="false" ht="15" hidden="false" customHeight="false" outlineLevel="0" collapsed="false">
      <c r="A123" s="30"/>
      <c r="B123" s="30"/>
      <c r="C123" s="30"/>
      <c r="D123" s="32"/>
      <c r="E123" s="30"/>
      <c r="F123" s="30"/>
      <c r="G123" s="30"/>
      <c r="H123" s="30"/>
      <c r="I123" s="32"/>
      <c r="J123" s="30"/>
      <c r="K123" s="30"/>
      <c r="L123" s="34"/>
      <c r="M123" s="32"/>
      <c r="N123" s="35" t="str">
        <f aca="false">IF(OR(L123="",M123=""),"",L123+IFERROR(VLOOKUP(M123,Lists!$G$3:$H$20,2,FALSE()),0))</f>
        <v/>
      </c>
      <c r="O123" s="32"/>
      <c r="P123" s="36" t="str">
        <f aca="true">IF(OR(N123="",O123="Closed",O123="Done - to verify"),"",N123-TODAY())</f>
        <v/>
      </c>
      <c r="Q123" s="37" t="str">
        <f aca="true">IF(C123="","",IF(O123="Closed","Closed",IF(O123="Done - to verify","To verify",IF(O123="On hold","On hold",IF(N123="","Set target",IF(N123&lt;TODAY(),"OVERDUE",IF(N123-TODAY()&lt;=7,"Due soon","On track")))))))</f>
        <v/>
      </c>
      <c r="R123" s="30"/>
      <c r="S123" s="34"/>
      <c r="T123" s="30"/>
      <c r="U123" s="30"/>
      <c r="V123" s="30"/>
      <c r="W123" s="34"/>
      <c r="X123" s="30"/>
    </row>
    <row r="124" customFormat="false" ht="15" hidden="false" customHeight="false" outlineLevel="0" collapsed="false">
      <c r="A124" s="30"/>
      <c r="B124" s="30"/>
      <c r="C124" s="30"/>
      <c r="D124" s="32"/>
      <c r="E124" s="30"/>
      <c r="F124" s="30"/>
      <c r="G124" s="30"/>
      <c r="H124" s="30"/>
      <c r="I124" s="32"/>
      <c r="J124" s="30"/>
      <c r="K124" s="30"/>
      <c r="L124" s="34"/>
      <c r="M124" s="32"/>
      <c r="N124" s="35" t="str">
        <f aca="false">IF(OR(L124="",M124=""),"",L124+IFERROR(VLOOKUP(M124,Lists!$G$3:$H$20,2,FALSE()),0))</f>
        <v/>
      </c>
      <c r="O124" s="32"/>
      <c r="P124" s="36" t="str">
        <f aca="true">IF(OR(N124="",O124="Closed",O124="Done - to verify"),"",N124-TODAY())</f>
        <v/>
      </c>
      <c r="Q124" s="37" t="str">
        <f aca="true">IF(C124="","",IF(O124="Closed","Closed",IF(O124="Done - to verify","To verify",IF(O124="On hold","On hold",IF(N124="","Set target",IF(N124&lt;TODAY(),"OVERDUE",IF(N124-TODAY()&lt;=7,"Due soon","On track")))))))</f>
        <v/>
      </c>
      <c r="R124" s="30"/>
      <c r="S124" s="34"/>
      <c r="T124" s="30"/>
      <c r="U124" s="30"/>
      <c r="V124" s="30"/>
      <c r="W124" s="34"/>
      <c r="X124" s="30"/>
    </row>
    <row r="125" customFormat="false" ht="15" hidden="false" customHeight="false" outlineLevel="0" collapsed="false">
      <c r="A125" s="30"/>
      <c r="B125" s="30"/>
      <c r="C125" s="30"/>
      <c r="D125" s="32"/>
      <c r="E125" s="30"/>
      <c r="F125" s="30"/>
      <c r="G125" s="30"/>
      <c r="H125" s="30"/>
      <c r="I125" s="32"/>
      <c r="J125" s="30"/>
      <c r="K125" s="30"/>
      <c r="L125" s="34"/>
      <c r="M125" s="32"/>
      <c r="N125" s="35" t="str">
        <f aca="false">IF(OR(L125="",M125=""),"",L125+IFERROR(VLOOKUP(M125,Lists!$G$3:$H$20,2,FALSE()),0))</f>
        <v/>
      </c>
      <c r="O125" s="32"/>
      <c r="P125" s="36" t="str">
        <f aca="true">IF(OR(N125="",O125="Closed",O125="Done - to verify"),"",N125-TODAY())</f>
        <v/>
      </c>
      <c r="Q125" s="37" t="str">
        <f aca="true">IF(C125="","",IF(O125="Closed","Closed",IF(O125="Done - to verify","To verify",IF(O125="On hold","On hold",IF(N125="","Set target",IF(N125&lt;TODAY(),"OVERDUE",IF(N125-TODAY()&lt;=7,"Due soon","On track")))))))</f>
        <v/>
      </c>
      <c r="R125" s="30"/>
      <c r="S125" s="34"/>
      <c r="T125" s="30"/>
      <c r="U125" s="30"/>
      <c r="V125" s="30"/>
      <c r="W125" s="34"/>
      <c r="X125" s="30"/>
    </row>
    <row r="126" customFormat="false" ht="15" hidden="false" customHeight="false" outlineLevel="0" collapsed="false">
      <c r="A126" s="30"/>
      <c r="B126" s="30"/>
      <c r="C126" s="30"/>
      <c r="D126" s="32"/>
      <c r="E126" s="30"/>
      <c r="F126" s="30"/>
      <c r="G126" s="30"/>
      <c r="H126" s="30"/>
      <c r="I126" s="32"/>
      <c r="J126" s="30"/>
      <c r="K126" s="30"/>
      <c r="L126" s="34"/>
      <c r="M126" s="32"/>
      <c r="N126" s="35" t="str">
        <f aca="false">IF(OR(L126="",M126=""),"",L126+IFERROR(VLOOKUP(M126,Lists!$G$3:$H$20,2,FALSE()),0))</f>
        <v/>
      </c>
      <c r="O126" s="32"/>
      <c r="P126" s="36" t="str">
        <f aca="true">IF(OR(N126="",O126="Closed",O126="Done - to verify"),"",N126-TODAY())</f>
        <v/>
      </c>
      <c r="Q126" s="37" t="str">
        <f aca="true">IF(C126="","",IF(O126="Closed","Closed",IF(O126="Done - to verify","To verify",IF(O126="On hold","On hold",IF(N126="","Set target",IF(N126&lt;TODAY(),"OVERDUE",IF(N126-TODAY()&lt;=7,"Due soon","On track")))))))</f>
        <v/>
      </c>
      <c r="R126" s="30"/>
      <c r="S126" s="34"/>
      <c r="T126" s="30"/>
      <c r="U126" s="30"/>
      <c r="V126" s="30"/>
      <c r="W126" s="34"/>
      <c r="X126" s="30"/>
    </row>
    <row r="127" customFormat="false" ht="15" hidden="false" customHeight="false" outlineLevel="0" collapsed="false">
      <c r="A127" s="30"/>
      <c r="B127" s="30"/>
      <c r="C127" s="30"/>
      <c r="D127" s="32"/>
      <c r="E127" s="30"/>
      <c r="F127" s="30"/>
      <c r="G127" s="30"/>
      <c r="H127" s="30"/>
      <c r="I127" s="32"/>
      <c r="J127" s="30"/>
      <c r="K127" s="30"/>
      <c r="L127" s="34"/>
      <c r="M127" s="32"/>
      <c r="N127" s="35" t="str">
        <f aca="false">IF(OR(L127="",M127=""),"",L127+IFERROR(VLOOKUP(M127,Lists!$G$3:$H$20,2,FALSE()),0))</f>
        <v/>
      </c>
      <c r="O127" s="32"/>
      <c r="P127" s="36" t="str">
        <f aca="true">IF(OR(N127="",O127="Closed",O127="Done - to verify"),"",N127-TODAY())</f>
        <v/>
      </c>
      <c r="Q127" s="37" t="str">
        <f aca="true">IF(C127="","",IF(O127="Closed","Closed",IF(O127="Done - to verify","To verify",IF(O127="On hold","On hold",IF(N127="","Set target",IF(N127&lt;TODAY(),"OVERDUE",IF(N127-TODAY()&lt;=7,"Due soon","On track")))))))</f>
        <v/>
      </c>
      <c r="R127" s="30"/>
      <c r="S127" s="34"/>
      <c r="T127" s="30"/>
      <c r="U127" s="30"/>
      <c r="V127" s="30"/>
      <c r="W127" s="34"/>
      <c r="X127" s="30"/>
    </row>
    <row r="128" customFormat="false" ht="15" hidden="false" customHeight="false" outlineLevel="0" collapsed="false">
      <c r="A128" s="30"/>
      <c r="B128" s="30"/>
      <c r="C128" s="30"/>
      <c r="D128" s="32"/>
      <c r="E128" s="30"/>
      <c r="F128" s="30"/>
      <c r="G128" s="30"/>
      <c r="H128" s="30"/>
      <c r="I128" s="32"/>
      <c r="J128" s="30"/>
      <c r="K128" s="30"/>
      <c r="L128" s="34"/>
      <c r="M128" s="32"/>
      <c r="N128" s="35" t="str">
        <f aca="false">IF(OR(L128="",M128=""),"",L128+IFERROR(VLOOKUP(M128,Lists!$G$3:$H$20,2,FALSE()),0))</f>
        <v/>
      </c>
      <c r="O128" s="32"/>
      <c r="P128" s="36" t="str">
        <f aca="true">IF(OR(N128="",O128="Closed",O128="Done - to verify"),"",N128-TODAY())</f>
        <v/>
      </c>
      <c r="Q128" s="37" t="str">
        <f aca="true">IF(C128="","",IF(O128="Closed","Closed",IF(O128="Done - to verify","To verify",IF(O128="On hold","On hold",IF(N128="","Set target",IF(N128&lt;TODAY(),"OVERDUE",IF(N128-TODAY()&lt;=7,"Due soon","On track")))))))</f>
        <v/>
      </c>
      <c r="R128" s="30"/>
      <c r="S128" s="34"/>
      <c r="T128" s="30"/>
      <c r="U128" s="30"/>
      <c r="V128" s="30"/>
      <c r="W128" s="34"/>
      <c r="X128" s="30"/>
    </row>
    <row r="129" customFormat="false" ht="15" hidden="false" customHeight="false" outlineLevel="0" collapsed="false">
      <c r="A129" s="30"/>
      <c r="B129" s="30"/>
      <c r="C129" s="30"/>
      <c r="D129" s="32"/>
      <c r="E129" s="30"/>
      <c r="F129" s="30"/>
      <c r="G129" s="30"/>
      <c r="H129" s="30"/>
      <c r="I129" s="32"/>
      <c r="J129" s="30"/>
      <c r="K129" s="30"/>
      <c r="L129" s="34"/>
      <c r="M129" s="32"/>
      <c r="N129" s="35" t="str">
        <f aca="false">IF(OR(L129="",M129=""),"",L129+IFERROR(VLOOKUP(M129,Lists!$G$3:$H$20,2,FALSE()),0))</f>
        <v/>
      </c>
      <c r="O129" s="32"/>
      <c r="P129" s="36" t="str">
        <f aca="true">IF(OR(N129="",O129="Closed",O129="Done - to verify"),"",N129-TODAY())</f>
        <v/>
      </c>
      <c r="Q129" s="37" t="str">
        <f aca="true">IF(C129="","",IF(O129="Closed","Closed",IF(O129="Done - to verify","To verify",IF(O129="On hold","On hold",IF(N129="","Set target",IF(N129&lt;TODAY(),"OVERDUE",IF(N129-TODAY()&lt;=7,"Due soon","On track")))))))</f>
        <v/>
      </c>
      <c r="R129" s="30"/>
      <c r="S129" s="34"/>
      <c r="T129" s="30"/>
      <c r="U129" s="30"/>
      <c r="V129" s="30"/>
      <c r="W129" s="34"/>
      <c r="X129" s="30"/>
    </row>
    <row r="130" customFormat="false" ht="15" hidden="false" customHeight="false" outlineLevel="0" collapsed="false">
      <c r="A130" s="30"/>
      <c r="B130" s="30"/>
      <c r="C130" s="30"/>
      <c r="D130" s="32"/>
      <c r="E130" s="30"/>
      <c r="F130" s="30"/>
      <c r="G130" s="30"/>
      <c r="H130" s="30"/>
      <c r="I130" s="32"/>
      <c r="J130" s="30"/>
      <c r="K130" s="30"/>
      <c r="L130" s="34"/>
      <c r="M130" s="32"/>
      <c r="N130" s="35" t="str">
        <f aca="false">IF(OR(L130="",M130=""),"",L130+IFERROR(VLOOKUP(M130,Lists!$G$3:$H$20,2,FALSE()),0))</f>
        <v/>
      </c>
      <c r="O130" s="32"/>
      <c r="P130" s="36" t="str">
        <f aca="true">IF(OR(N130="",O130="Closed",O130="Done - to verify"),"",N130-TODAY())</f>
        <v/>
      </c>
      <c r="Q130" s="37" t="str">
        <f aca="true">IF(C130="","",IF(O130="Closed","Closed",IF(O130="Done - to verify","To verify",IF(O130="On hold","On hold",IF(N130="","Set target",IF(N130&lt;TODAY(),"OVERDUE",IF(N130-TODAY()&lt;=7,"Due soon","On track")))))))</f>
        <v/>
      </c>
      <c r="R130" s="30"/>
      <c r="S130" s="34"/>
      <c r="T130" s="30"/>
      <c r="U130" s="30"/>
      <c r="V130" s="30"/>
      <c r="W130" s="34"/>
      <c r="X130" s="30"/>
    </row>
    <row r="131" customFormat="false" ht="15" hidden="false" customHeight="false" outlineLevel="0" collapsed="false">
      <c r="A131" s="30"/>
      <c r="B131" s="30"/>
      <c r="C131" s="30"/>
      <c r="D131" s="32"/>
      <c r="E131" s="30"/>
      <c r="F131" s="30"/>
      <c r="G131" s="30"/>
      <c r="H131" s="30"/>
      <c r="I131" s="32"/>
      <c r="J131" s="30"/>
      <c r="K131" s="30"/>
      <c r="L131" s="34"/>
      <c r="M131" s="32"/>
      <c r="N131" s="35" t="str">
        <f aca="false">IF(OR(L131="",M131=""),"",L131+IFERROR(VLOOKUP(M131,Lists!$G$3:$H$20,2,FALSE()),0))</f>
        <v/>
      </c>
      <c r="O131" s="32"/>
      <c r="P131" s="36" t="str">
        <f aca="true">IF(OR(N131="",O131="Closed",O131="Done - to verify"),"",N131-TODAY())</f>
        <v/>
      </c>
      <c r="Q131" s="37" t="str">
        <f aca="true">IF(C131="","",IF(O131="Closed","Closed",IF(O131="Done - to verify","To verify",IF(O131="On hold","On hold",IF(N131="","Set target",IF(N131&lt;TODAY(),"OVERDUE",IF(N131-TODAY()&lt;=7,"Due soon","On track")))))))</f>
        <v/>
      </c>
      <c r="R131" s="30"/>
      <c r="S131" s="34"/>
      <c r="T131" s="30"/>
      <c r="U131" s="30"/>
      <c r="V131" s="30"/>
      <c r="W131" s="34"/>
      <c r="X131" s="30"/>
    </row>
    <row r="132" customFormat="false" ht="15" hidden="false" customHeight="false" outlineLevel="0" collapsed="false">
      <c r="A132" s="30"/>
      <c r="B132" s="30"/>
      <c r="C132" s="30"/>
      <c r="D132" s="32"/>
      <c r="E132" s="30"/>
      <c r="F132" s="30"/>
      <c r="G132" s="30"/>
      <c r="H132" s="30"/>
      <c r="I132" s="32"/>
      <c r="J132" s="30"/>
      <c r="K132" s="30"/>
      <c r="L132" s="34"/>
      <c r="M132" s="32"/>
      <c r="N132" s="35" t="str">
        <f aca="false">IF(OR(L132="",M132=""),"",L132+IFERROR(VLOOKUP(M132,Lists!$G$3:$H$20,2,FALSE()),0))</f>
        <v/>
      </c>
      <c r="O132" s="32"/>
      <c r="P132" s="36" t="str">
        <f aca="true">IF(OR(N132="",O132="Closed",O132="Done - to verify"),"",N132-TODAY())</f>
        <v/>
      </c>
      <c r="Q132" s="37" t="str">
        <f aca="true">IF(C132="","",IF(O132="Closed","Closed",IF(O132="Done - to verify","To verify",IF(O132="On hold","On hold",IF(N132="","Set target",IF(N132&lt;TODAY(),"OVERDUE",IF(N132-TODAY()&lt;=7,"Due soon","On track")))))))</f>
        <v/>
      </c>
      <c r="R132" s="30"/>
      <c r="S132" s="34"/>
      <c r="T132" s="30"/>
      <c r="U132" s="30"/>
      <c r="V132" s="30"/>
      <c r="W132" s="34"/>
      <c r="X132" s="30"/>
    </row>
    <row r="133" customFormat="false" ht="15" hidden="false" customHeight="false" outlineLevel="0" collapsed="false">
      <c r="A133" s="30"/>
      <c r="B133" s="30"/>
      <c r="C133" s="30"/>
      <c r="D133" s="32"/>
      <c r="E133" s="30"/>
      <c r="F133" s="30"/>
      <c r="G133" s="30"/>
      <c r="H133" s="30"/>
      <c r="I133" s="32"/>
      <c r="J133" s="30"/>
      <c r="K133" s="30"/>
      <c r="L133" s="34"/>
      <c r="M133" s="32"/>
      <c r="N133" s="35" t="str">
        <f aca="false">IF(OR(L133="",M133=""),"",L133+IFERROR(VLOOKUP(M133,Lists!$G$3:$H$20,2,FALSE()),0))</f>
        <v/>
      </c>
      <c r="O133" s="32"/>
      <c r="P133" s="36" t="str">
        <f aca="true">IF(OR(N133="",O133="Closed",O133="Done - to verify"),"",N133-TODAY())</f>
        <v/>
      </c>
      <c r="Q133" s="37" t="str">
        <f aca="true">IF(C133="","",IF(O133="Closed","Closed",IF(O133="Done - to verify","To verify",IF(O133="On hold","On hold",IF(N133="","Set target",IF(N133&lt;TODAY(),"OVERDUE",IF(N133-TODAY()&lt;=7,"Due soon","On track")))))))</f>
        <v/>
      </c>
      <c r="R133" s="30"/>
      <c r="S133" s="34"/>
      <c r="T133" s="30"/>
      <c r="U133" s="30"/>
      <c r="V133" s="30"/>
      <c r="W133" s="34"/>
      <c r="X133" s="30"/>
    </row>
    <row r="134" customFormat="false" ht="15" hidden="false" customHeight="false" outlineLevel="0" collapsed="false">
      <c r="A134" s="30"/>
      <c r="B134" s="30"/>
      <c r="C134" s="30"/>
      <c r="D134" s="32"/>
      <c r="E134" s="30"/>
      <c r="F134" s="30"/>
      <c r="G134" s="30"/>
      <c r="H134" s="30"/>
      <c r="I134" s="32"/>
      <c r="J134" s="30"/>
      <c r="K134" s="30"/>
      <c r="L134" s="34"/>
      <c r="M134" s="32"/>
      <c r="N134" s="35" t="str">
        <f aca="false">IF(OR(L134="",M134=""),"",L134+IFERROR(VLOOKUP(M134,Lists!$G$3:$H$20,2,FALSE()),0))</f>
        <v/>
      </c>
      <c r="O134" s="32"/>
      <c r="P134" s="36" t="str">
        <f aca="true">IF(OR(N134="",O134="Closed",O134="Done - to verify"),"",N134-TODAY())</f>
        <v/>
      </c>
      <c r="Q134" s="37" t="str">
        <f aca="true">IF(C134="","",IF(O134="Closed","Closed",IF(O134="Done - to verify","To verify",IF(O134="On hold","On hold",IF(N134="","Set target",IF(N134&lt;TODAY(),"OVERDUE",IF(N134-TODAY()&lt;=7,"Due soon","On track")))))))</f>
        <v/>
      </c>
      <c r="R134" s="30"/>
      <c r="S134" s="34"/>
      <c r="T134" s="30"/>
      <c r="U134" s="30"/>
      <c r="V134" s="30"/>
      <c r="W134" s="34"/>
      <c r="X134" s="30"/>
    </row>
    <row r="135" customFormat="false" ht="15" hidden="false" customHeight="false" outlineLevel="0" collapsed="false">
      <c r="A135" s="30"/>
      <c r="B135" s="30"/>
      <c r="C135" s="30"/>
      <c r="D135" s="32"/>
      <c r="E135" s="30"/>
      <c r="F135" s="30"/>
      <c r="G135" s="30"/>
      <c r="H135" s="30"/>
      <c r="I135" s="32"/>
      <c r="J135" s="30"/>
      <c r="K135" s="30"/>
      <c r="L135" s="34"/>
      <c r="M135" s="32"/>
      <c r="N135" s="35" t="str">
        <f aca="false">IF(OR(L135="",M135=""),"",L135+IFERROR(VLOOKUP(M135,Lists!$G$3:$H$20,2,FALSE()),0))</f>
        <v/>
      </c>
      <c r="O135" s="32"/>
      <c r="P135" s="36" t="str">
        <f aca="true">IF(OR(N135="",O135="Closed",O135="Done - to verify"),"",N135-TODAY())</f>
        <v/>
      </c>
      <c r="Q135" s="37" t="str">
        <f aca="true">IF(C135="","",IF(O135="Closed","Closed",IF(O135="Done - to verify","To verify",IF(O135="On hold","On hold",IF(N135="","Set target",IF(N135&lt;TODAY(),"OVERDUE",IF(N135-TODAY()&lt;=7,"Due soon","On track")))))))</f>
        <v/>
      </c>
      <c r="R135" s="30"/>
      <c r="S135" s="34"/>
      <c r="T135" s="30"/>
      <c r="U135" s="30"/>
      <c r="V135" s="30"/>
      <c r="W135" s="34"/>
      <c r="X135" s="30"/>
    </row>
    <row r="136" customFormat="false" ht="15" hidden="false" customHeight="false" outlineLevel="0" collapsed="false">
      <c r="A136" s="30"/>
      <c r="B136" s="30"/>
      <c r="C136" s="30"/>
      <c r="D136" s="32"/>
      <c r="E136" s="30"/>
      <c r="F136" s="30"/>
      <c r="G136" s="30"/>
      <c r="H136" s="30"/>
      <c r="I136" s="32"/>
      <c r="J136" s="30"/>
      <c r="K136" s="30"/>
      <c r="L136" s="34"/>
      <c r="M136" s="32"/>
      <c r="N136" s="35" t="str">
        <f aca="false">IF(OR(L136="",M136=""),"",L136+IFERROR(VLOOKUP(M136,Lists!$G$3:$H$20,2,FALSE()),0))</f>
        <v/>
      </c>
      <c r="O136" s="32"/>
      <c r="P136" s="36" t="str">
        <f aca="true">IF(OR(N136="",O136="Closed",O136="Done - to verify"),"",N136-TODAY())</f>
        <v/>
      </c>
      <c r="Q136" s="37" t="str">
        <f aca="true">IF(C136="","",IF(O136="Closed","Closed",IF(O136="Done - to verify","To verify",IF(O136="On hold","On hold",IF(N136="","Set target",IF(N136&lt;TODAY(),"OVERDUE",IF(N136-TODAY()&lt;=7,"Due soon","On track")))))))</f>
        <v/>
      </c>
      <c r="R136" s="30"/>
      <c r="S136" s="34"/>
      <c r="T136" s="30"/>
      <c r="U136" s="30"/>
      <c r="V136" s="30"/>
      <c r="W136" s="34"/>
      <c r="X136" s="30"/>
    </row>
    <row r="137" customFormat="false" ht="15" hidden="false" customHeight="false" outlineLevel="0" collapsed="false">
      <c r="A137" s="30"/>
      <c r="B137" s="30"/>
      <c r="C137" s="30"/>
      <c r="D137" s="32"/>
      <c r="E137" s="30"/>
      <c r="F137" s="30"/>
      <c r="G137" s="30"/>
      <c r="H137" s="30"/>
      <c r="I137" s="32"/>
      <c r="J137" s="30"/>
      <c r="K137" s="30"/>
      <c r="L137" s="34"/>
      <c r="M137" s="32"/>
      <c r="N137" s="35" t="str">
        <f aca="false">IF(OR(L137="",M137=""),"",L137+IFERROR(VLOOKUP(M137,Lists!$G$3:$H$20,2,FALSE()),0))</f>
        <v/>
      </c>
      <c r="O137" s="32"/>
      <c r="P137" s="36" t="str">
        <f aca="true">IF(OR(N137="",O137="Closed",O137="Done - to verify"),"",N137-TODAY())</f>
        <v/>
      </c>
      <c r="Q137" s="37" t="str">
        <f aca="true">IF(C137="","",IF(O137="Closed","Closed",IF(O137="Done - to verify","To verify",IF(O137="On hold","On hold",IF(N137="","Set target",IF(N137&lt;TODAY(),"OVERDUE",IF(N137-TODAY()&lt;=7,"Due soon","On track")))))))</f>
        <v/>
      </c>
      <c r="R137" s="30"/>
      <c r="S137" s="34"/>
      <c r="T137" s="30"/>
      <c r="U137" s="30"/>
      <c r="V137" s="30"/>
      <c r="W137" s="34"/>
      <c r="X137" s="30"/>
    </row>
    <row r="138" customFormat="false" ht="15" hidden="false" customHeight="false" outlineLevel="0" collapsed="false">
      <c r="A138" s="30"/>
      <c r="B138" s="30"/>
      <c r="C138" s="30"/>
      <c r="D138" s="32"/>
      <c r="E138" s="30"/>
      <c r="F138" s="30"/>
      <c r="G138" s="30"/>
      <c r="H138" s="30"/>
      <c r="I138" s="32"/>
      <c r="J138" s="30"/>
      <c r="K138" s="30"/>
      <c r="L138" s="34"/>
      <c r="M138" s="32"/>
      <c r="N138" s="35" t="str">
        <f aca="false">IF(OR(L138="",M138=""),"",L138+IFERROR(VLOOKUP(M138,Lists!$G$3:$H$20,2,FALSE()),0))</f>
        <v/>
      </c>
      <c r="O138" s="32"/>
      <c r="P138" s="36" t="str">
        <f aca="true">IF(OR(N138="",O138="Closed",O138="Done - to verify"),"",N138-TODAY())</f>
        <v/>
      </c>
      <c r="Q138" s="37" t="str">
        <f aca="true">IF(C138="","",IF(O138="Closed","Closed",IF(O138="Done - to verify","To verify",IF(O138="On hold","On hold",IF(N138="","Set target",IF(N138&lt;TODAY(),"OVERDUE",IF(N138-TODAY()&lt;=7,"Due soon","On track")))))))</f>
        <v/>
      </c>
      <c r="R138" s="30"/>
      <c r="S138" s="34"/>
      <c r="T138" s="30"/>
      <c r="U138" s="30"/>
      <c r="V138" s="30"/>
      <c r="W138" s="34"/>
      <c r="X138" s="30"/>
    </row>
    <row r="139" customFormat="false" ht="15" hidden="false" customHeight="false" outlineLevel="0" collapsed="false">
      <c r="A139" s="30"/>
      <c r="B139" s="30"/>
      <c r="C139" s="30"/>
      <c r="D139" s="32"/>
      <c r="E139" s="30"/>
      <c r="F139" s="30"/>
      <c r="G139" s="30"/>
      <c r="H139" s="30"/>
      <c r="I139" s="32"/>
      <c r="J139" s="30"/>
      <c r="K139" s="30"/>
      <c r="L139" s="34"/>
      <c r="M139" s="32"/>
      <c r="N139" s="35" t="str">
        <f aca="false">IF(OR(L139="",M139=""),"",L139+IFERROR(VLOOKUP(M139,Lists!$G$3:$H$20,2,FALSE()),0))</f>
        <v/>
      </c>
      <c r="O139" s="32"/>
      <c r="P139" s="36" t="str">
        <f aca="true">IF(OR(N139="",O139="Closed",O139="Done - to verify"),"",N139-TODAY())</f>
        <v/>
      </c>
      <c r="Q139" s="37" t="str">
        <f aca="true">IF(C139="","",IF(O139="Closed","Closed",IF(O139="Done - to verify","To verify",IF(O139="On hold","On hold",IF(N139="","Set target",IF(N139&lt;TODAY(),"OVERDUE",IF(N139-TODAY()&lt;=7,"Due soon","On track")))))))</f>
        <v/>
      </c>
      <c r="R139" s="30"/>
      <c r="S139" s="34"/>
      <c r="T139" s="30"/>
      <c r="U139" s="30"/>
      <c r="V139" s="30"/>
      <c r="W139" s="34"/>
      <c r="X139" s="30"/>
    </row>
    <row r="140" customFormat="false" ht="15" hidden="false" customHeight="false" outlineLevel="0" collapsed="false">
      <c r="A140" s="30"/>
      <c r="B140" s="30"/>
      <c r="C140" s="30"/>
      <c r="D140" s="32"/>
      <c r="E140" s="30"/>
      <c r="F140" s="30"/>
      <c r="G140" s="30"/>
      <c r="H140" s="30"/>
      <c r="I140" s="32"/>
      <c r="J140" s="30"/>
      <c r="K140" s="30"/>
      <c r="L140" s="34"/>
      <c r="M140" s="32"/>
      <c r="N140" s="35" t="str">
        <f aca="false">IF(OR(L140="",M140=""),"",L140+IFERROR(VLOOKUP(M140,Lists!$G$3:$H$20,2,FALSE()),0))</f>
        <v/>
      </c>
      <c r="O140" s="32"/>
      <c r="P140" s="36" t="str">
        <f aca="true">IF(OR(N140="",O140="Closed",O140="Done - to verify"),"",N140-TODAY())</f>
        <v/>
      </c>
      <c r="Q140" s="37" t="str">
        <f aca="true">IF(C140="","",IF(O140="Closed","Closed",IF(O140="Done - to verify","To verify",IF(O140="On hold","On hold",IF(N140="","Set target",IF(N140&lt;TODAY(),"OVERDUE",IF(N140-TODAY()&lt;=7,"Due soon","On track")))))))</f>
        <v/>
      </c>
      <c r="R140" s="30"/>
      <c r="S140" s="34"/>
      <c r="T140" s="30"/>
      <c r="U140" s="30"/>
      <c r="V140" s="30"/>
      <c r="W140" s="34"/>
      <c r="X140" s="30"/>
    </row>
    <row r="141" customFormat="false" ht="15" hidden="false" customHeight="false" outlineLevel="0" collapsed="false">
      <c r="A141" s="30"/>
      <c r="B141" s="30"/>
      <c r="C141" s="30"/>
      <c r="D141" s="32"/>
      <c r="E141" s="30"/>
      <c r="F141" s="30"/>
      <c r="G141" s="30"/>
      <c r="H141" s="30"/>
      <c r="I141" s="32"/>
      <c r="J141" s="30"/>
      <c r="K141" s="30"/>
      <c r="L141" s="34"/>
      <c r="M141" s="32"/>
      <c r="N141" s="35" t="str">
        <f aca="false">IF(OR(L141="",M141=""),"",L141+IFERROR(VLOOKUP(M141,Lists!$G$3:$H$20,2,FALSE()),0))</f>
        <v/>
      </c>
      <c r="O141" s="32"/>
      <c r="P141" s="36" t="str">
        <f aca="true">IF(OR(N141="",O141="Closed",O141="Done - to verify"),"",N141-TODAY())</f>
        <v/>
      </c>
      <c r="Q141" s="37" t="str">
        <f aca="true">IF(C141="","",IF(O141="Closed","Closed",IF(O141="Done - to verify","To verify",IF(O141="On hold","On hold",IF(N141="","Set target",IF(N141&lt;TODAY(),"OVERDUE",IF(N141-TODAY()&lt;=7,"Due soon","On track")))))))</f>
        <v/>
      </c>
      <c r="R141" s="30"/>
      <c r="S141" s="34"/>
      <c r="T141" s="30"/>
      <c r="U141" s="30"/>
      <c r="V141" s="30"/>
      <c r="W141" s="34"/>
      <c r="X141" s="30"/>
    </row>
    <row r="142" customFormat="false" ht="15" hidden="false" customHeight="false" outlineLevel="0" collapsed="false">
      <c r="A142" s="30"/>
      <c r="B142" s="30"/>
      <c r="C142" s="30"/>
      <c r="D142" s="32"/>
      <c r="E142" s="30"/>
      <c r="F142" s="30"/>
      <c r="G142" s="30"/>
      <c r="H142" s="30"/>
      <c r="I142" s="32"/>
      <c r="J142" s="30"/>
      <c r="K142" s="30"/>
      <c r="L142" s="34"/>
      <c r="M142" s="32"/>
      <c r="N142" s="35" t="str">
        <f aca="false">IF(OR(L142="",M142=""),"",L142+IFERROR(VLOOKUP(M142,Lists!$G$3:$H$20,2,FALSE()),0))</f>
        <v/>
      </c>
      <c r="O142" s="32"/>
      <c r="P142" s="36" t="str">
        <f aca="true">IF(OR(N142="",O142="Closed",O142="Done - to verify"),"",N142-TODAY())</f>
        <v/>
      </c>
      <c r="Q142" s="37" t="str">
        <f aca="true">IF(C142="","",IF(O142="Closed","Closed",IF(O142="Done - to verify","To verify",IF(O142="On hold","On hold",IF(N142="","Set target",IF(N142&lt;TODAY(),"OVERDUE",IF(N142-TODAY()&lt;=7,"Due soon","On track")))))))</f>
        <v/>
      </c>
      <c r="R142" s="30"/>
      <c r="S142" s="34"/>
      <c r="T142" s="30"/>
      <c r="U142" s="30"/>
      <c r="V142" s="30"/>
      <c r="W142" s="34"/>
      <c r="X142" s="30"/>
    </row>
    <row r="143" customFormat="false" ht="15" hidden="false" customHeight="false" outlineLevel="0" collapsed="false">
      <c r="A143" s="30"/>
      <c r="B143" s="30"/>
      <c r="C143" s="30"/>
      <c r="D143" s="32"/>
      <c r="E143" s="30"/>
      <c r="F143" s="30"/>
      <c r="G143" s="30"/>
      <c r="H143" s="30"/>
      <c r="I143" s="32"/>
      <c r="J143" s="30"/>
      <c r="K143" s="30"/>
      <c r="L143" s="34"/>
      <c r="M143" s="32"/>
      <c r="N143" s="35" t="str">
        <f aca="false">IF(OR(L143="",M143=""),"",L143+IFERROR(VLOOKUP(M143,Lists!$G$3:$H$20,2,FALSE()),0))</f>
        <v/>
      </c>
      <c r="O143" s="32"/>
      <c r="P143" s="36" t="str">
        <f aca="true">IF(OR(N143="",O143="Closed",O143="Done - to verify"),"",N143-TODAY())</f>
        <v/>
      </c>
      <c r="Q143" s="37" t="str">
        <f aca="true">IF(C143="","",IF(O143="Closed","Closed",IF(O143="Done - to verify","To verify",IF(O143="On hold","On hold",IF(N143="","Set target",IF(N143&lt;TODAY(),"OVERDUE",IF(N143-TODAY()&lt;=7,"Due soon","On track")))))))</f>
        <v/>
      </c>
      <c r="R143" s="30"/>
      <c r="S143" s="34"/>
      <c r="T143" s="30"/>
      <c r="U143" s="30"/>
      <c r="V143" s="30"/>
      <c r="W143" s="34"/>
      <c r="X143" s="30"/>
    </row>
    <row r="144" customFormat="false" ht="15" hidden="false" customHeight="false" outlineLevel="0" collapsed="false">
      <c r="A144" s="30"/>
      <c r="B144" s="30"/>
      <c r="C144" s="30"/>
      <c r="D144" s="32"/>
      <c r="E144" s="30"/>
      <c r="F144" s="30"/>
      <c r="G144" s="30"/>
      <c r="H144" s="30"/>
      <c r="I144" s="32"/>
      <c r="J144" s="30"/>
      <c r="K144" s="30"/>
      <c r="L144" s="34"/>
      <c r="M144" s="32"/>
      <c r="N144" s="35" t="str">
        <f aca="false">IF(OR(L144="",M144=""),"",L144+IFERROR(VLOOKUP(M144,Lists!$G$3:$H$20,2,FALSE()),0))</f>
        <v/>
      </c>
      <c r="O144" s="32"/>
      <c r="P144" s="36" t="str">
        <f aca="true">IF(OR(N144="",O144="Closed",O144="Done - to verify"),"",N144-TODAY())</f>
        <v/>
      </c>
      <c r="Q144" s="37" t="str">
        <f aca="true">IF(C144="","",IF(O144="Closed","Closed",IF(O144="Done - to verify","To verify",IF(O144="On hold","On hold",IF(N144="","Set target",IF(N144&lt;TODAY(),"OVERDUE",IF(N144-TODAY()&lt;=7,"Due soon","On track")))))))</f>
        <v/>
      </c>
      <c r="R144" s="30"/>
      <c r="S144" s="34"/>
      <c r="T144" s="30"/>
      <c r="U144" s="30"/>
      <c r="V144" s="30"/>
      <c r="W144" s="34"/>
      <c r="X144" s="30"/>
    </row>
    <row r="145" customFormat="false" ht="15" hidden="false" customHeight="false" outlineLevel="0" collapsed="false">
      <c r="A145" s="30"/>
      <c r="B145" s="30"/>
      <c r="C145" s="30"/>
      <c r="D145" s="32"/>
      <c r="E145" s="30"/>
      <c r="F145" s="30"/>
      <c r="G145" s="30"/>
      <c r="H145" s="30"/>
      <c r="I145" s="32"/>
      <c r="J145" s="30"/>
      <c r="K145" s="30"/>
      <c r="L145" s="34"/>
      <c r="M145" s="32"/>
      <c r="N145" s="35" t="str">
        <f aca="false">IF(OR(L145="",M145=""),"",L145+IFERROR(VLOOKUP(M145,Lists!$G$3:$H$20,2,FALSE()),0))</f>
        <v/>
      </c>
      <c r="O145" s="32"/>
      <c r="P145" s="36" t="str">
        <f aca="true">IF(OR(N145="",O145="Closed",O145="Done - to verify"),"",N145-TODAY())</f>
        <v/>
      </c>
      <c r="Q145" s="37" t="str">
        <f aca="true">IF(C145="","",IF(O145="Closed","Closed",IF(O145="Done - to verify","To verify",IF(O145="On hold","On hold",IF(N145="","Set target",IF(N145&lt;TODAY(),"OVERDUE",IF(N145-TODAY()&lt;=7,"Due soon","On track")))))))</f>
        <v/>
      </c>
      <c r="R145" s="30"/>
      <c r="S145" s="34"/>
      <c r="T145" s="30"/>
      <c r="U145" s="30"/>
      <c r="V145" s="30"/>
      <c r="W145" s="34"/>
      <c r="X145" s="30"/>
    </row>
    <row r="146" customFormat="false" ht="15" hidden="false" customHeight="false" outlineLevel="0" collapsed="false">
      <c r="A146" s="30"/>
      <c r="B146" s="30"/>
      <c r="C146" s="30"/>
      <c r="D146" s="32"/>
      <c r="E146" s="30"/>
      <c r="F146" s="30"/>
      <c r="G146" s="30"/>
      <c r="H146" s="30"/>
      <c r="I146" s="32"/>
      <c r="J146" s="30"/>
      <c r="K146" s="30"/>
      <c r="L146" s="34"/>
      <c r="M146" s="32"/>
      <c r="N146" s="35" t="str">
        <f aca="false">IF(OR(L146="",M146=""),"",L146+IFERROR(VLOOKUP(M146,Lists!$G$3:$H$20,2,FALSE()),0))</f>
        <v/>
      </c>
      <c r="O146" s="32"/>
      <c r="P146" s="36" t="str">
        <f aca="true">IF(OR(N146="",O146="Closed",O146="Done - to verify"),"",N146-TODAY())</f>
        <v/>
      </c>
      <c r="Q146" s="37" t="str">
        <f aca="true">IF(C146="","",IF(O146="Closed","Closed",IF(O146="Done - to verify","To verify",IF(O146="On hold","On hold",IF(N146="","Set target",IF(N146&lt;TODAY(),"OVERDUE",IF(N146-TODAY()&lt;=7,"Due soon","On track")))))))</f>
        <v/>
      </c>
      <c r="R146" s="30"/>
      <c r="S146" s="34"/>
      <c r="T146" s="30"/>
      <c r="U146" s="30"/>
      <c r="V146" s="30"/>
      <c r="W146" s="34"/>
      <c r="X146" s="30"/>
    </row>
    <row r="147" customFormat="false" ht="15" hidden="false" customHeight="false" outlineLevel="0" collapsed="false">
      <c r="A147" s="30"/>
      <c r="B147" s="30"/>
      <c r="C147" s="30"/>
      <c r="D147" s="32"/>
      <c r="E147" s="30"/>
      <c r="F147" s="30"/>
      <c r="G147" s="30"/>
      <c r="H147" s="30"/>
      <c r="I147" s="32"/>
      <c r="J147" s="30"/>
      <c r="K147" s="30"/>
      <c r="L147" s="34"/>
      <c r="M147" s="32"/>
      <c r="N147" s="35" t="str">
        <f aca="false">IF(OR(L147="",M147=""),"",L147+IFERROR(VLOOKUP(M147,Lists!$G$3:$H$20,2,FALSE()),0))</f>
        <v/>
      </c>
      <c r="O147" s="32"/>
      <c r="P147" s="36" t="str">
        <f aca="true">IF(OR(N147="",O147="Closed",O147="Done - to verify"),"",N147-TODAY())</f>
        <v/>
      </c>
      <c r="Q147" s="37" t="str">
        <f aca="true">IF(C147="","",IF(O147="Closed","Closed",IF(O147="Done - to verify","To verify",IF(O147="On hold","On hold",IF(N147="","Set target",IF(N147&lt;TODAY(),"OVERDUE",IF(N147-TODAY()&lt;=7,"Due soon","On track")))))))</f>
        <v/>
      </c>
      <c r="R147" s="30"/>
      <c r="S147" s="34"/>
      <c r="T147" s="30"/>
      <c r="U147" s="30"/>
      <c r="V147" s="30"/>
      <c r="W147" s="34"/>
      <c r="X147" s="30"/>
    </row>
    <row r="148" customFormat="false" ht="15" hidden="false" customHeight="false" outlineLevel="0" collapsed="false">
      <c r="A148" s="30"/>
      <c r="B148" s="30"/>
      <c r="C148" s="30"/>
      <c r="D148" s="32"/>
      <c r="E148" s="30"/>
      <c r="F148" s="30"/>
      <c r="G148" s="30"/>
      <c r="H148" s="30"/>
      <c r="I148" s="32"/>
      <c r="J148" s="30"/>
      <c r="K148" s="30"/>
      <c r="L148" s="34"/>
      <c r="M148" s="32"/>
      <c r="N148" s="35" t="str">
        <f aca="false">IF(OR(L148="",M148=""),"",L148+IFERROR(VLOOKUP(M148,Lists!$G$3:$H$20,2,FALSE()),0))</f>
        <v/>
      </c>
      <c r="O148" s="32"/>
      <c r="P148" s="36" t="str">
        <f aca="true">IF(OR(N148="",O148="Closed",O148="Done - to verify"),"",N148-TODAY())</f>
        <v/>
      </c>
      <c r="Q148" s="37" t="str">
        <f aca="true">IF(C148="","",IF(O148="Closed","Closed",IF(O148="Done - to verify","To verify",IF(O148="On hold","On hold",IF(N148="","Set target",IF(N148&lt;TODAY(),"OVERDUE",IF(N148-TODAY()&lt;=7,"Due soon","On track")))))))</f>
        <v/>
      </c>
      <c r="R148" s="30"/>
      <c r="S148" s="34"/>
      <c r="T148" s="30"/>
      <c r="U148" s="30"/>
      <c r="V148" s="30"/>
      <c r="W148" s="34"/>
      <c r="X148" s="30"/>
    </row>
    <row r="149" customFormat="false" ht="15" hidden="false" customHeight="false" outlineLevel="0" collapsed="false">
      <c r="A149" s="30"/>
      <c r="B149" s="30"/>
      <c r="C149" s="30"/>
      <c r="D149" s="32"/>
      <c r="E149" s="30"/>
      <c r="F149" s="30"/>
      <c r="G149" s="30"/>
      <c r="H149" s="30"/>
      <c r="I149" s="32"/>
      <c r="J149" s="30"/>
      <c r="K149" s="30"/>
      <c r="L149" s="34"/>
      <c r="M149" s="32"/>
      <c r="N149" s="35" t="str">
        <f aca="false">IF(OR(L149="",M149=""),"",L149+IFERROR(VLOOKUP(M149,Lists!$G$3:$H$20,2,FALSE()),0))</f>
        <v/>
      </c>
      <c r="O149" s="32"/>
      <c r="P149" s="36" t="str">
        <f aca="true">IF(OR(N149="",O149="Closed",O149="Done - to verify"),"",N149-TODAY())</f>
        <v/>
      </c>
      <c r="Q149" s="37" t="str">
        <f aca="true">IF(C149="","",IF(O149="Closed","Closed",IF(O149="Done - to verify","To verify",IF(O149="On hold","On hold",IF(N149="","Set target",IF(N149&lt;TODAY(),"OVERDUE",IF(N149-TODAY()&lt;=7,"Due soon","On track")))))))</f>
        <v/>
      </c>
      <c r="R149" s="30"/>
      <c r="S149" s="34"/>
      <c r="T149" s="30"/>
      <c r="U149" s="30"/>
      <c r="V149" s="30"/>
      <c r="W149" s="34"/>
      <c r="X149" s="30"/>
    </row>
    <row r="150" customFormat="false" ht="15" hidden="false" customHeight="false" outlineLevel="0" collapsed="false">
      <c r="A150" s="30"/>
      <c r="B150" s="30"/>
      <c r="C150" s="30"/>
      <c r="D150" s="32"/>
      <c r="E150" s="30"/>
      <c r="F150" s="30"/>
      <c r="G150" s="30"/>
      <c r="H150" s="30"/>
      <c r="I150" s="32"/>
      <c r="J150" s="30"/>
      <c r="K150" s="30"/>
      <c r="L150" s="34"/>
      <c r="M150" s="32"/>
      <c r="N150" s="35" t="str">
        <f aca="false">IF(OR(L150="",M150=""),"",L150+IFERROR(VLOOKUP(M150,Lists!$G$3:$H$20,2,FALSE()),0))</f>
        <v/>
      </c>
      <c r="O150" s="32"/>
      <c r="P150" s="36" t="str">
        <f aca="true">IF(OR(N150="",O150="Closed",O150="Done - to verify"),"",N150-TODAY())</f>
        <v/>
      </c>
      <c r="Q150" s="37" t="str">
        <f aca="true">IF(C150="","",IF(O150="Closed","Closed",IF(O150="Done - to verify","To verify",IF(O150="On hold","On hold",IF(N150="","Set target",IF(N150&lt;TODAY(),"OVERDUE",IF(N150-TODAY()&lt;=7,"Due soon","On track")))))))</f>
        <v/>
      </c>
      <c r="R150" s="30"/>
      <c r="S150" s="34"/>
      <c r="T150" s="30"/>
      <c r="U150" s="30"/>
      <c r="V150" s="30"/>
      <c r="W150" s="34"/>
      <c r="X150" s="30"/>
    </row>
    <row r="151" customFormat="false" ht="15" hidden="false" customHeight="false" outlineLevel="0" collapsed="false">
      <c r="A151" s="30"/>
      <c r="B151" s="30"/>
      <c r="C151" s="30"/>
      <c r="D151" s="32"/>
      <c r="E151" s="30"/>
      <c r="F151" s="30"/>
      <c r="G151" s="30"/>
      <c r="H151" s="30"/>
      <c r="I151" s="32"/>
      <c r="J151" s="30"/>
      <c r="K151" s="30"/>
      <c r="L151" s="34"/>
      <c r="M151" s="32"/>
      <c r="N151" s="35" t="str">
        <f aca="false">IF(OR(L151="",M151=""),"",L151+IFERROR(VLOOKUP(M151,Lists!$G$3:$H$20,2,FALSE()),0))</f>
        <v/>
      </c>
      <c r="O151" s="32"/>
      <c r="P151" s="36" t="str">
        <f aca="true">IF(OR(N151="",O151="Closed",O151="Done - to verify"),"",N151-TODAY())</f>
        <v/>
      </c>
      <c r="Q151" s="37" t="str">
        <f aca="true">IF(C151="","",IF(O151="Closed","Closed",IF(O151="Done - to verify","To verify",IF(O151="On hold","On hold",IF(N151="","Set target",IF(N151&lt;TODAY(),"OVERDUE",IF(N151-TODAY()&lt;=7,"Due soon","On track")))))))</f>
        <v/>
      </c>
      <c r="R151" s="30"/>
      <c r="S151" s="34"/>
      <c r="T151" s="30"/>
      <c r="U151" s="30"/>
      <c r="V151" s="30"/>
      <c r="W151" s="34"/>
      <c r="X151" s="30"/>
    </row>
    <row r="152" customFormat="false" ht="15" hidden="false" customHeight="false" outlineLevel="0" collapsed="false">
      <c r="A152" s="30"/>
      <c r="B152" s="30"/>
      <c r="C152" s="30"/>
      <c r="D152" s="32"/>
      <c r="E152" s="30"/>
      <c r="F152" s="30"/>
      <c r="G152" s="30"/>
      <c r="H152" s="30"/>
      <c r="I152" s="32"/>
      <c r="J152" s="30"/>
      <c r="K152" s="30"/>
      <c r="L152" s="34"/>
      <c r="M152" s="32"/>
      <c r="N152" s="35" t="str">
        <f aca="false">IF(OR(L152="",M152=""),"",L152+IFERROR(VLOOKUP(M152,Lists!$G$3:$H$20,2,FALSE()),0))</f>
        <v/>
      </c>
      <c r="O152" s="32"/>
      <c r="P152" s="36" t="str">
        <f aca="true">IF(OR(N152="",O152="Closed",O152="Done - to verify"),"",N152-TODAY())</f>
        <v/>
      </c>
      <c r="Q152" s="37" t="str">
        <f aca="true">IF(C152="","",IF(O152="Closed","Closed",IF(O152="Done - to verify","To verify",IF(O152="On hold","On hold",IF(N152="","Set target",IF(N152&lt;TODAY(),"OVERDUE",IF(N152-TODAY()&lt;=7,"Due soon","On track")))))))</f>
        <v/>
      </c>
      <c r="R152" s="30"/>
      <c r="S152" s="34"/>
      <c r="T152" s="30"/>
      <c r="U152" s="30"/>
      <c r="V152" s="30"/>
      <c r="W152" s="34"/>
      <c r="X152" s="30"/>
    </row>
    <row r="153" customFormat="false" ht="15" hidden="false" customHeight="false" outlineLevel="0" collapsed="false">
      <c r="A153" s="30"/>
      <c r="B153" s="30"/>
      <c r="C153" s="30"/>
      <c r="D153" s="32"/>
      <c r="E153" s="30"/>
      <c r="F153" s="30"/>
      <c r="G153" s="30"/>
      <c r="H153" s="30"/>
      <c r="I153" s="32"/>
      <c r="J153" s="30"/>
      <c r="K153" s="30"/>
      <c r="L153" s="34"/>
      <c r="M153" s="32"/>
      <c r="N153" s="35" t="str">
        <f aca="false">IF(OR(L153="",M153=""),"",L153+IFERROR(VLOOKUP(M153,Lists!$G$3:$H$20,2,FALSE()),0))</f>
        <v/>
      </c>
      <c r="O153" s="32"/>
      <c r="P153" s="36" t="str">
        <f aca="true">IF(OR(N153="",O153="Closed",O153="Done - to verify"),"",N153-TODAY())</f>
        <v/>
      </c>
      <c r="Q153" s="37" t="str">
        <f aca="true">IF(C153="","",IF(O153="Closed","Closed",IF(O153="Done - to verify","To verify",IF(O153="On hold","On hold",IF(N153="","Set target",IF(N153&lt;TODAY(),"OVERDUE",IF(N153-TODAY()&lt;=7,"Due soon","On track")))))))</f>
        <v/>
      </c>
      <c r="R153" s="30"/>
      <c r="S153" s="34"/>
      <c r="T153" s="30"/>
      <c r="U153" s="30"/>
      <c r="V153" s="30"/>
      <c r="W153" s="34"/>
      <c r="X153" s="30"/>
    </row>
    <row r="154" customFormat="false" ht="15" hidden="false" customHeight="false" outlineLevel="0" collapsed="false">
      <c r="A154" s="30"/>
      <c r="B154" s="30"/>
      <c r="C154" s="30"/>
      <c r="D154" s="32"/>
      <c r="E154" s="30"/>
      <c r="F154" s="30"/>
      <c r="G154" s="30"/>
      <c r="H154" s="30"/>
      <c r="I154" s="32"/>
      <c r="J154" s="30"/>
      <c r="K154" s="30"/>
      <c r="L154" s="34"/>
      <c r="M154" s="32"/>
      <c r="N154" s="35" t="str">
        <f aca="false">IF(OR(L154="",M154=""),"",L154+IFERROR(VLOOKUP(M154,Lists!$G$3:$H$20,2,FALSE()),0))</f>
        <v/>
      </c>
      <c r="O154" s="32"/>
      <c r="P154" s="36" t="str">
        <f aca="true">IF(OR(N154="",O154="Closed",O154="Done - to verify"),"",N154-TODAY())</f>
        <v/>
      </c>
      <c r="Q154" s="37" t="str">
        <f aca="true">IF(C154="","",IF(O154="Closed","Closed",IF(O154="Done - to verify","To verify",IF(O154="On hold","On hold",IF(N154="","Set target",IF(N154&lt;TODAY(),"OVERDUE",IF(N154-TODAY()&lt;=7,"Due soon","On track")))))))</f>
        <v/>
      </c>
      <c r="R154" s="30"/>
      <c r="S154" s="34"/>
      <c r="T154" s="30"/>
      <c r="U154" s="30"/>
      <c r="V154" s="30"/>
      <c r="W154" s="34"/>
      <c r="X154" s="30"/>
    </row>
    <row r="155" customFormat="false" ht="15" hidden="false" customHeight="false" outlineLevel="0" collapsed="false">
      <c r="A155" s="30"/>
      <c r="B155" s="30"/>
      <c r="C155" s="30"/>
      <c r="D155" s="32"/>
      <c r="E155" s="30"/>
      <c r="F155" s="30"/>
      <c r="G155" s="30"/>
      <c r="H155" s="30"/>
      <c r="I155" s="32"/>
      <c r="J155" s="30"/>
      <c r="K155" s="30"/>
      <c r="L155" s="34"/>
      <c r="M155" s="32"/>
      <c r="N155" s="35" t="str">
        <f aca="false">IF(OR(L155="",M155=""),"",L155+IFERROR(VLOOKUP(M155,Lists!$G$3:$H$20,2,FALSE()),0))</f>
        <v/>
      </c>
      <c r="O155" s="32"/>
      <c r="P155" s="36" t="str">
        <f aca="true">IF(OR(N155="",O155="Closed",O155="Done - to verify"),"",N155-TODAY())</f>
        <v/>
      </c>
      <c r="Q155" s="37" t="str">
        <f aca="true">IF(C155="","",IF(O155="Closed","Closed",IF(O155="Done - to verify","To verify",IF(O155="On hold","On hold",IF(N155="","Set target",IF(N155&lt;TODAY(),"OVERDUE",IF(N155-TODAY()&lt;=7,"Due soon","On track")))))))</f>
        <v/>
      </c>
      <c r="R155" s="30"/>
      <c r="S155" s="34"/>
      <c r="T155" s="30"/>
      <c r="U155" s="30"/>
      <c r="V155" s="30"/>
      <c r="W155" s="34"/>
      <c r="X155" s="30"/>
    </row>
    <row r="156" customFormat="false" ht="15" hidden="false" customHeight="false" outlineLevel="0" collapsed="false">
      <c r="A156" s="30"/>
      <c r="B156" s="30"/>
      <c r="C156" s="30"/>
      <c r="D156" s="32"/>
      <c r="E156" s="30"/>
      <c r="F156" s="30"/>
      <c r="G156" s="30"/>
      <c r="H156" s="30"/>
      <c r="I156" s="32"/>
      <c r="J156" s="30"/>
      <c r="K156" s="30"/>
      <c r="L156" s="34"/>
      <c r="M156" s="32"/>
      <c r="N156" s="35" t="str">
        <f aca="false">IF(OR(L156="",M156=""),"",L156+IFERROR(VLOOKUP(M156,Lists!$G$3:$H$20,2,FALSE()),0))</f>
        <v/>
      </c>
      <c r="O156" s="32"/>
      <c r="P156" s="36" t="str">
        <f aca="true">IF(OR(N156="",O156="Closed",O156="Done - to verify"),"",N156-TODAY())</f>
        <v/>
      </c>
      <c r="Q156" s="37" t="str">
        <f aca="true">IF(C156="","",IF(O156="Closed","Closed",IF(O156="Done - to verify","To verify",IF(O156="On hold","On hold",IF(N156="","Set target",IF(N156&lt;TODAY(),"OVERDUE",IF(N156-TODAY()&lt;=7,"Due soon","On track")))))))</f>
        <v/>
      </c>
      <c r="R156" s="30"/>
      <c r="S156" s="34"/>
      <c r="T156" s="30"/>
      <c r="U156" s="30"/>
      <c r="V156" s="30"/>
      <c r="W156" s="34"/>
      <c r="X156" s="30"/>
    </row>
    <row r="157" customFormat="false" ht="15" hidden="false" customHeight="false" outlineLevel="0" collapsed="false">
      <c r="A157" s="30"/>
      <c r="B157" s="30"/>
      <c r="C157" s="30"/>
      <c r="D157" s="32"/>
      <c r="E157" s="30"/>
      <c r="F157" s="30"/>
      <c r="G157" s="30"/>
      <c r="H157" s="30"/>
      <c r="I157" s="32"/>
      <c r="J157" s="30"/>
      <c r="K157" s="30"/>
      <c r="L157" s="34"/>
      <c r="M157" s="32"/>
      <c r="N157" s="35" t="str">
        <f aca="false">IF(OR(L157="",M157=""),"",L157+IFERROR(VLOOKUP(M157,Lists!$G$3:$H$20,2,FALSE()),0))</f>
        <v/>
      </c>
      <c r="O157" s="32"/>
      <c r="P157" s="36" t="str">
        <f aca="true">IF(OR(N157="",O157="Closed",O157="Done - to verify"),"",N157-TODAY())</f>
        <v/>
      </c>
      <c r="Q157" s="37" t="str">
        <f aca="true">IF(C157="","",IF(O157="Closed","Closed",IF(O157="Done - to verify","To verify",IF(O157="On hold","On hold",IF(N157="","Set target",IF(N157&lt;TODAY(),"OVERDUE",IF(N157-TODAY()&lt;=7,"Due soon","On track")))))))</f>
        <v/>
      </c>
      <c r="R157" s="30"/>
      <c r="S157" s="34"/>
      <c r="T157" s="30"/>
      <c r="U157" s="30"/>
      <c r="V157" s="30"/>
      <c r="W157" s="34"/>
      <c r="X157" s="30"/>
    </row>
    <row r="158" customFormat="false" ht="15" hidden="false" customHeight="false" outlineLevel="0" collapsed="false">
      <c r="A158" s="30"/>
      <c r="B158" s="30"/>
      <c r="C158" s="30"/>
      <c r="D158" s="32"/>
      <c r="E158" s="30"/>
      <c r="F158" s="30"/>
      <c r="G158" s="30"/>
      <c r="H158" s="30"/>
      <c r="I158" s="32"/>
      <c r="J158" s="30"/>
      <c r="K158" s="30"/>
      <c r="L158" s="34"/>
      <c r="M158" s="32"/>
      <c r="N158" s="35" t="str">
        <f aca="false">IF(OR(L158="",M158=""),"",L158+IFERROR(VLOOKUP(M158,Lists!$G$3:$H$20,2,FALSE()),0))</f>
        <v/>
      </c>
      <c r="O158" s="32"/>
      <c r="P158" s="36" t="str">
        <f aca="true">IF(OR(N158="",O158="Closed",O158="Done - to verify"),"",N158-TODAY())</f>
        <v/>
      </c>
      <c r="Q158" s="37" t="str">
        <f aca="true">IF(C158="","",IF(O158="Closed","Closed",IF(O158="Done - to verify","To verify",IF(O158="On hold","On hold",IF(N158="","Set target",IF(N158&lt;TODAY(),"OVERDUE",IF(N158-TODAY()&lt;=7,"Due soon","On track")))))))</f>
        <v/>
      </c>
      <c r="R158" s="30"/>
      <c r="S158" s="34"/>
      <c r="T158" s="30"/>
      <c r="U158" s="30"/>
      <c r="V158" s="30"/>
      <c r="W158" s="34"/>
      <c r="X158" s="30"/>
    </row>
    <row r="159" customFormat="false" ht="15" hidden="false" customHeight="false" outlineLevel="0" collapsed="false">
      <c r="A159" s="30"/>
      <c r="B159" s="30"/>
      <c r="C159" s="30"/>
      <c r="D159" s="32"/>
      <c r="E159" s="30"/>
      <c r="F159" s="30"/>
      <c r="G159" s="30"/>
      <c r="H159" s="30"/>
      <c r="I159" s="32"/>
      <c r="J159" s="30"/>
      <c r="K159" s="30"/>
      <c r="L159" s="34"/>
      <c r="M159" s="32"/>
      <c r="N159" s="35" t="str">
        <f aca="false">IF(OR(L159="",M159=""),"",L159+IFERROR(VLOOKUP(M159,Lists!$G$3:$H$20,2,FALSE()),0))</f>
        <v/>
      </c>
      <c r="O159" s="32"/>
      <c r="P159" s="36" t="str">
        <f aca="true">IF(OR(N159="",O159="Closed",O159="Done - to verify"),"",N159-TODAY())</f>
        <v/>
      </c>
      <c r="Q159" s="37" t="str">
        <f aca="true">IF(C159="","",IF(O159="Closed","Closed",IF(O159="Done - to verify","To verify",IF(O159="On hold","On hold",IF(N159="","Set target",IF(N159&lt;TODAY(),"OVERDUE",IF(N159-TODAY()&lt;=7,"Due soon","On track")))))))</f>
        <v/>
      </c>
      <c r="R159" s="30"/>
      <c r="S159" s="34"/>
      <c r="T159" s="30"/>
      <c r="U159" s="30"/>
      <c r="V159" s="30"/>
      <c r="W159" s="34"/>
      <c r="X159" s="30"/>
    </row>
    <row r="160" customFormat="false" ht="15" hidden="false" customHeight="false" outlineLevel="0" collapsed="false">
      <c r="A160" s="30"/>
      <c r="B160" s="30"/>
      <c r="C160" s="30"/>
      <c r="D160" s="32"/>
      <c r="E160" s="30"/>
      <c r="F160" s="30"/>
      <c r="G160" s="30"/>
      <c r="H160" s="30"/>
      <c r="I160" s="32"/>
      <c r="J160" s="30"/>
      <c r="K160" s="30"/>
      <c r="L160" s="34"/>
      <c r="M160" s="32"/>
      <c r="N160" s="35" t="str">
        <f aca="false">IF(OR(L160="",M160=""),"",L160+IFERROR(VLOOKUP(M160,Lists!$G$3:$H$20,2,FALSE()),0))</f>
        <v/>
      </c>
      <c r="O160" s="32"/>
      <c r="P160" s="36" t="str">
        <f aca="true">IF(OR(N160="",O160="Closed",O160="Done - to verify"),"",N160-TODAY())</f>
        <v/>
      </c>
      <c r="Q160" s="37" t="str">
        <f aca="true">IF(C160="","",IF(O160="Closed","Closed",IF(O160="Done - to verify","To verify",IF(O160="On hold","On hold",IF(N160="","Set target",IF(N160&lt;TODAY(),"OVERDUE",IF(N160-TODAY()&lt;=7,"Due soon","On track")))))))</f>
        <v/>
      </c>
      <c r="R160" s="30"/>
      <c r="S160" s="34"/>
      <c r="T160" s="30"/>
      <c r="U160" s="30"/>
      <c r="V160" s="30"/>
      <c r="W160" s="34"/>
      <c r="X160" s="30"/>
    </row>
    <row r="161" customFormat="false" ht="15" hidden="false" customHeight="false" outlineLevel="0" collapsed="false">
      <c r="A161" s="30"/>
      <c r="B161" s="30"/>
      <c r="C161" s="30"/>
      <c r="D161" s="32"/>
      <c r="E161" s="30"/>
      <c r="F161" s="30"/>
      <c r="G161" s="30"/>
      <c r="H161" s="30"/>
      <c r="I161" s="32"/>
      <c r="J161" s="30"/>
      <c r="K161" s="30"/>
      <c r="L161" s="34"/>
      <c r="M161" s="32"/>
      <c r="N161" s="35" t="str">
        <f aca="false">IF(OR(L161="",M161=""),"",L161+IFERROR(VLOOKUP(M161,Lists!$G$3:$H$20,2,FALSE()),0))</f>
        <v/>
      </c>
      <c r="O161" s="32"/>
      <c r="P161" s="36" t="str">
        <f aca="true">IF(OR(N161="",O161="Closed",O161="Done - to verify"),"",N161-TODAY())</f>
        <v/>
      </c>
      <c r="Q161" s="37" t="str">
        <f aca="true">IF(C161="","",IF(O161="Closed","Closed",IF(O161="Done - to verify","To verify",IF(O161="On hold","On hold",IF(N161="","Set target",IF(N161&lt;TODAY(),"OVERDUE",IF(N161-TODAY()&lt;=7,"Due soon","On track")))))))</f>
        <v/>
      </c>
      <c r="R161" s="30"/>
      <c r="S161" s="34"/>
      <c r="T161" s="30"/>
      <c r="U161" s="30"/>
      <c r="V161" s="30"/>
      <c r="W161" s="34"/>
      <c r="X161" s="30"/>
    </row>
    <row r="162" customFormat="false" ht="15" hidden="false" customHeight="false" outlineLevel="0" collapsed="false">
      <c r="A162" s="30"/>
      <c r="B162" s="30"/>
      <c r="C162" s="30"/>
      <c r="D162" s="32"/>
      <c r="E162" s="30"/>
      <c r="F162" s="30"/>
      <c r="G162" s="30"/>
      <c r="H162" s="30"/>
      <c r="I162" s="32"/>
      <c r="J162" s="30"/>
      <c r="K162" s="30"/>
      <c r="L162" s="34"/>
      <c r="M162" s="32"/>
      <c r="N162" s="35" t="str">
        <f aca="false">IF(OR(L162="",M162=""),"",L162+IFERROR(VLOOKUP(M162,Lists!$G$3:$H$20,2,FALSE()),0))</f>
        <v/>
      </c>
      <c r="O162" s="32"/>
      <c r="P162" s="36" t="str">
        <f aca="true">IF(OR(N162="",O162="Closed",O162="Done - to verify"),"",N162-TODAY())</f>
        <v/>
      </c>
      <c r="Q162" s="37" t="str">
        <f aca="true">IF(C162="","",IF(O162="Closed","Closed",IF(O162="Done - to verify","To verify",IF(O162="On hold","On hold",IF(N162="","Set target",IF(N162&lt;TODAY(),"OVERDUE",IF(N162-TODAY()&lt;=7,"Due soon","On track")))))))</f>
        <v/>
      </c>
      <c r="R162" s="30"/>
      <c r="S162" s="34"/>
      <c r="T162" s="30"/>
      <c r="U162" s="30"/>
      <c r="V162" s="30"/>
      <c r="W162" s="34"/>
      <c r="X162" s="30"/>
    </row>
    <row r="163" customFormat="false" ht="15" hidden="false" customHeight="false" outlineLevel="0" collapsed="false">
      <c r="A163" s="30"/>
      <c r="B163" s="30"/>
      <c r="C163" s="30"/>
      <c r="D163" s="32"/>
      <c r="E163" s="30"/>
      <c r="F163" s="30"/>
      <c r="G163" s="30"/>
      <c r="H163" s="30"/>
      <c r="I163" s="32"/>
      <c r="J163" s="30"/>
      <c r="K163" s="30"/>
      <c r="L163" s="34"/>
      <c r="M163" s="32"/>
      <c r="N163" s="35" t="str">
        <f aca="false">IF(OR(L163="",M163=""),"",L163+IFERROR(VLOOKUP(M163,Lists!$G$3:$H$20,2,FALSE()),0))</f>
        <v/>
      </c>
      <c r="O163" s="32"/>
      <c r="P163" s="36" t="str">
        <f aca="true">IF(OR(N163="",O163="Closed",O163="Done - to verify"),"",N163-TODAY())</f>
        <v/>
      </c>
      <c r="Q163" s="37" t="str">
        <f aca="true">IF(C163="","",IF(O163="Closed","Closed",IF(O163="Done - to verify","To verify",IF(O163="On hold","On hold",IF(N163="","Set target",IF(N163&lt;TODAY(),"OVERDUE",IF(N163-TODAY()&lt;=7,"Due soon","On track")))))))</f>
        <v/>
      </c>
      <c r="R163" s="30"/>
      <c r="S163" s="34"/>
      <c r="T163" s="30"/>
      <c r="U163" s="30"/>
      <c r="V163" s="30"/>
      <c r="W163" s="34"/>
      <c r="X163" s="30"/>
    </row>
    <row r="164" customFormat="false" ht="15" hidden="false" customHeight="false" outlineLevel="0" collapsed="false">
      <c r="A164" s="30"/>
      <c r="B164" s="30"/>
      <c r="C164" s="30"/>
      <c r="D164" s="32"/>
      <c r="E164" s="30"/>
      <c r="F164" s="30"/>
      <c r="G164" s="30"/>
      <c r="H164" s="30"/>
      <c r="I164" s="32"/>
      <c r="J164" s="30"/>
      <c r="K164" s="30"/>
      <c r="L164" s="34"/>
      <c r="M164" s="32"/>
      <c r="N164" s="35" t="str">
        <f aca="false">IF(OR(L164="",M164=""),"",L164+IFERROR(VLOOKUP(M164,Lists!$G$3:$H$20,2,FALSE()),0))</f>
        <v/>
      </c>
      <c r="O164" s="32"/>
      <c r="P164" s="36" t="str">
        <f aca="true">IF(OR(N164="",O164="Closed",O164="Done - to verify"),"",N164-TODAY())</f>
        <v/>
      </c>
      <c r="Q164" s="37" t="str">
        <f aca="true">IF(C164="","",IF(O164="Closed","Closed",IF(O164="Done - to verify","To verify",IF(O164="On hold","On hold",IF(N164="","Set target",IF(N164&lt;TODAY(),"OVERDUE",IF(N164-TODAY()&lt;=7,"Due soon","On track")))))))</f>
        <v/>
      </c>
      <c r="R164" s="30"/>
      <c r="S164" s="34"/>
      <c r="T164" s="30"/>
      <c r="U164" s="30"/>
      <c r="V164" s="30"/>
      <c r="W164" s="34"/>
      <c r="X164" s="30"/>
    </row>
    <row r="165" customFormat="false" ht="15" hidden="false" customHeight="false" outlineLevel="0" collapsed="false">
      <c r="A165" s="30"/>
      <c r="B165" s="30"/>
      <c r="C165" s="30"/>
      <c r="D165" s="32"/>
      <c r="E165" s="30"/>
      <c r="F165" s="30"/>
      <c r="G165" s="30"/>
      <c r="H165" s="30"/>
      <c r="I165" s="32"/>
      <c r="J165" s="30"/>
      <c r="K165" s="30"/>
      <c r="L165" s="34"/>
      <c r="M165" s="32"/>
      <c r="N165" s="35" t="str">
        <f aca="false">IF(OR(L165="",M165=""),"",L165+IFERROR(VLOOKUP(M165,Lists!$G$3:$H$20,2,FALSE()),0))</f>
        <v/>
      </c>
      <c r="O165" s="32"/>
      <c r="P165" s="36" t="str">
        <f aca="true">IF(OR(N165="",O165="Closed",O165="Done - to verify"),"",N165-TODAY())</f>
        <v/>
      </c>
      <c r="Q165" s="37" t="str">
        <f aca="true">IF(C165="","",IF(O165="Closed","Closed",IF(O165="Done - to verify","To verify",IF(O165="On hold","On hold",IF(N165="","Set target",IF(N165&lt;TODAY(),"OVERDUE",IF(N165-TODAY()&lt;=7,"Due soon","On track")))))))</f>
        <v/>
      </c>
      <c r="R165" s="30"/>
      <c r="S165" s="34"/>
      <c r="T165" s="30"/>
      <c r="U165" s="30"/>
      <c r="V165" s="30"/>
      <c r="W165" s="34"/>
      <c r="X165" s="30"/>
    </row>
    <row r="166" customFormat="false" ht="15" hidden="false" customHeight="false" outlineLevel="0" collapsed="false">
      <c r="A166" s="30"/>
      <c r="B166" s="30"/>
      <c r="C166" s="30"/>
      <c r="D166" s="32"/>
      <c r="E166" s="30"/>
      <c r="F166" s="30"/>
      <c r="G166" s="30"/>
      <c r="H166" s="30"/>
      <c r="I166" s="32"/>
      <c r="J166" s="30"/>
      <c r="K166" s="30"/>
      <c r="L166" s="34"/>
      <c r="M166" s="32"/>
      <c r="N166" s="35" t="str">
        <f aca="false">IF(OR(L166="",M166=""),"",L166+IFERROR(VLOOKUP(M166,Lists!$G$3:$H$20,2,FALSE()),0))</f>
        <v/>
      </c>
      <c r="O166" s="32"/>
      <c r="P166" s="36" t="str">
        <f aca="true">IF(OR(N166="",O166="Closed",O166="Done - to verify"),"",N166-TODAY())</f>
        <v/>
      </c>
      <c r="Q166" s="37" t="str">
        <f aca="true">IF(C166="","",IF(O166="Closed","Closed",IF(O166="Done - to verify","To verify",IF(O166="On hold","On hold",IF(N166="","Set target",IF(N166&lt;TODAY(),"OVERDUE",IF(N166-TODAY()&lt;=7,"Due soon","On track")))))))</f>
        <v/>
      </c>
      <c r="R166" s="30"/>
      <c r="S166" s="34"/>
      <c r="T166" s="30"/>
      <c r="U166" s="30"/>
      <c r="V166" s="30"/>
      <c r="W166" s="34"/>
      <c r="X166" s="30"/>
    </row>
    <row r="167" customFormat="false" ht="15" hidden="false" customHeight="false" outlineLevel="0" collapsed="false">
      <c r="A167" s="30"/>
      <c r="B167" s="30"/>
      <c r="C167" s="30"/>
      <c r="D167" s="32"/>
      <c r="E167" s="30"/>
      <c r="F167" s="30"/>
      <c r="G167" s="30"/>
      <c r="H167" s="30"/>
      <c r="I167" s="32"/>
      <c r="J167" s="30"/>
      <c r="K167" s="30"/>
      <c r="L167" s="34"/>
      <c r="M167" s="32"/>
      <c r="N167" s="35" t="str">
        <f aca="false">IF(OR(L167="",M167=""),"",L167+IFERROR(VLOOKUP(M167,Lists!$G$3:$H$20,2,FALSE()),0))</f>
        <v/>
      </c>
      <c r="O167" s="32"/>
      <c r="P167" s="36" t="str">
        <f aca="true">IF(OR(N167="",O167="Closed",O167="Done - to verify"),"",N167-TODAY())</f>
        <v/>
      </c>
      <c r="Q167" s="37" t="str">
        <f aca="true">IF(C167="","",IF(O167="Closed","Closed",IF(O167="Done - to verify","To verify",IF(O167="On hold","On hold",IF(N167="","Set target",IF(N167&lt;TODAY(),"OVERDUE",IF(N167-TODAY()&lt;=7,"Due soon","On track")))))))</f>
        <v/>
      </c>
      <c r="R167" s="30"/>
      <c r="S167" s="34"/>
      <c r="T167" s="30"/>
      <c r="U167" s="30"/>
      <c r="V167" s="30"/>
      <c r="W167" s="34"/>
      <c r="X167" s="30"/>
    </row>
    <row r="168" customFormat="false" ht="15" hidden="false" customHeight="false" outlineLevel="0" collapsed="false">
      <c r="A168" s="30"/>
      <c r="B168" s="30"/>
      <c r="C168" s="30"/>
      <c r="D168" s="32"/>
      <c r="E168" s="30"/>
      <c r="F168" s="30"/>
      <c r="G168" s="30"/>
      <c r="H168" s="30"/>
      <c r="I168" s="32"/>
      <c r="J168" s="30"/>
      <c r="K168" s="30"/>
      <c r="L168" s="34"/>
      <c r="M168" s="32"/>
      <c r="N168" s="35" t="str">
        <f aca="false">IF(OR(L168="",M168=""),"",L168+IFERROR(VLOOKUP(M168,Lists!$G$3:$H$20,2,FALSE()),0))</f>
        <v/>
      </c>
      <c r="O168" s="32"/>
      <c r="P168" s="36" t="str">
        <f aca="true">IF(OR(N168="",O168="Closed",O168="Done - to verify"),"",N168-TODAY())</f>
        <v/>
      </c>
      <c r="Q168" s="37" t="str">
        <f aca="true">IF(C168="","",IF(O168="Closed","Closed",IF(O168="Done - to verify","To verify",IF(O168="On hold","On hold",IF(N168="","Set target",IF(N168&lt;TODAY(),"OVERDUE",IF(N168-TODAY()&lt;=7,"Due soon","On track")))))))</f>
        <v/>
      </c>
      <c r="R168" s="30"/>
      <c r="S168" s="34"/>
      <c r="T168" s="30"/>
      <c r="U168" s="30"/>
      <c r="V168" s="30"/>
      <c r="W168" s="34"/>
      <c r="X168" s="30"/>
    </row>
    <row r="169" customFormat="false" ht="15" hidden="false" customHeight="false" outlineLevel="0" collapsed="false">
      <c r="A169" s="30"/>
      <c r="B169" s="30"/>
      <c r="C169" s="30"/>
      <c r="D169" s="32"/>
      <c r="E169" s="30"/>
      <c r="F169" s="30"/>
      <c r="G169" s="30"/>
      <c r="H169" s="30"/>
      <c r="I169" s="32"/>
      <c r="J169" s="30"/>
      <c r="K169" s="30"/>
      <c r="L169" s="34"/>
      <c r="M169" s="32"/>
      <c r="N169" s="35" t="str">
        <f aca="false">IF(OR(L169="",M169=""),"",L169+IFERROR(VLOOKUP(M169,Lists!$G$3:$H$20,2,FALSE()),0))</f>
        <v/>
      </c>
      <c r="O169" s="32"/>
      <c r="P169" s="36" t="str">
        <f aca="true">IF(OR(N169="",O169="Closed",O169="Done - to verify"),"",N169-TODAY())</f>
        <v/>
      </c>
      <c r="Q169" s="37" t="str">
        <f aca="true">IF(C169="","",IF(O169="Closed","Closed",IF(O169="Done - to verify","To verify",IF(O169="On hold","On hold",IF(N169="","Set target",IF(N169&lt;TODAY(),"OVERDUE",IF(N169-TODAY()&lt;=7,"Due soon","On track")))))))</f>
        <v/>
      </c>
      <c r="R169" s="30"/>
      <c r="S169" s="34"/>
      <c r="T169" s="30"/>
      <c r="U169" s="30"/>
      <c r="V169" s="30"/>
      <c r="W169" s="34"/>
      <c r="X169" s="30"/>
    </row>
    <row r="170" customFormat="false" ht="15" hidden="false" customHeight="false" outlineLevel="0" collapsed="false">
      <c r="A170" s="30"/>
      <c r="B170" s="30"/>
      <c r="C170" s="30"/>
      <c r="D170" s="32"/>
      <c r="E170" s="30"/>
      <c r="F170" s="30"/>
      <c r="G170" s="30"/>
      <c r="H170" s="30"/>
      <c r="I170" s="32"/>
      <c r="J170" s="30"/>
      <c r="K170" s="30"/>
      <c r="L170" s="34"/>
      <c r="M170" s="32"/>
      <c r="N170" s="35" t="str">
        <f aca="false">IF(OR(L170="",M170=""),"",L170+IFERROR(VLOOKUP(M170,Lists!$G$3:$H$20,2,FALSE()),0))</f>
        <v/>
      </c>
      <c r="O170" s="32"/>
      <c r="P170" s="36" t="str">
        <f aca="true">IF(OR(N170="",O170="Closed",O170="Done - to verify"),"",N170-TODAY())</f>
        <v/>
      </c>
      <c r="Q170" s="37" t="str">
        <f aca="true">IF(C170="","",IF(O170="Closed","Closed",IF(O170="Done - to verify","To verify",IF(O170="On hold","On hold",IF(N170="","Set target",IF(N170&lt;TODAY(),"OVERDUE",IF(N170-TODAY()&lt;=7,"Due soon","On track")))))))</f>
        <v/>
      </c>
      <c r="R170" s="30"/>
      <c r="S170" s="34"/>
      <c r="T170" s="30"/>
      <c r="U170" s="30"/>
      <c r="V170" s="30"/>
      <c r="W170" s="34"/>
      <c r="X170" s="30"/>
    </row>
    <row r="171" customFormat="false" ht="15" hidden="false" customHeight="false" outlineLevel="0" collapsed="false">
      <c r="A171" s="30"/>
      <c r="B171" s="30"/>
      <c r="C171" s="30"/>
      <c r="D171" s="32"/>
      <c r="E171" s="30"/>
      <c r="F171" s="30"/>
      <c r="G171" s="30"/>
      <c r="H171" s="30"/>
      <c r="I171" s="32"/>
      <c r="J171" s="30"/>
      <c r="K171" s="30"/>
      <c r="L171" s="34"/>
      <c r="M171" s="32"/>
      <c r="N171" s="35" t="str">
        <f aca="false">IF(OR(L171="",M171=""),"",L171+IFERROR(VLOOKUP(M171,Lists!$G$3:$H$20,2,FALSE()),0))</f>
        <v/>
      </c>
      <c r="O171" s="32"/>
      <c r="P171" s="36" t="str">
        <f aca="true">IF(OR(N171="",O171="Closed",O171="Done - to verify"),"",N171-TODAY())</f>
        <v/>
      </c>
      <c r="Q171" s="37" t="str">
        <f aca="true">IF(C171="","",IF(O171="Closed","Closed",IF(O171="Done - to verify","To verify",IF(O171="On hold","On hold",IF(N171="","Set target",IF(N171&lt;TODAY(),"OVERDUE",IF(N171-TODAY()&lt;=7,"Due soon","On track")))))))</f>
        <v/>
      </c>
      <c r="R171" s="30"/>
      <c r="S171" s="34"/>
      <c r="T171" s="30"/>
      <c r="U171" s="30"/>
      <c r="V171" s="30"/>
      <c r="W171" s="34"/>
      <c r="X171" s="30"/>
    </row>
    <row r="172" customFormat="false" ht="15" hidden="false" customHeight="false" outlineLevel="0" collapsed="false">
      <c r="A172" s="30"/>
      <c r="B172" s="30"/>
      <c r="C172" s="30"/>
      <c r="D172" s="32"/>
      <c r="E172" s="30"/>
      <c r="F172" s="30"/>
      <c r="G172" s="30"/>
      <c r="H172" s="30"/>
      <c r="I172" s="32"/>
      <c r="J172" s="30"/>
      <c r="K172" s="30"/>
      <c r="L172" s="34"/>
      <c r="M172" s="32"/>
      <c r="N172" s="35" t="str">
        <f aca="false">IF(OR(L172="",M172=""),"",L172+IFERROR(VLOOKUP(M172,Lists!$G$3:$H$20,2,FALSE()),0))</f>
        <v/>
      </c>
      <c r="O172" s="32"/>
      <c r="P172" s="36" t="str">
        <f aca="true">IF(OR(N172="",O172="Closed",O172="Done - to verify"),"",N172-TODAY())</f>
        <v/>
      </c>
      <c r="Q172" s="37" t="str">
        <f aca="true">IF(C172="","",IF(O172="Closed","Closed",IF(O172="Done - to verify","To verify",IF(O172="On hold","On hold",IF(N172="","Set target",IF(N172&lt;TODAY(),"OVERDUE",IF(N172-TODAY()&lt;=7,"Due soon","On track")))))))</f>
        <v/>
      </c>
      <c r="R172" s="30"/>
      <c r="S172" s="34"/>
      <c r="T172" s="30"/>
      <c r="U172" s="30"/>
      <c r="V172" s="30"/>
      <c r="W172" s="34"/>
      <c r="X172" s="30"/>
    </row>
    <row r="173" customFormat="false" ht="15" hidden="false" customHeight="false" outlineLevel="0" collapsed="false">
      <c r="A173" s="30"/>
      <c r="B173" s="30"/>
      <c r="C173" s="30"/>
      <c r="D173" s="32"/>
      <c r="E173" s="30"/>
      <c r="F173" s="30"/>
      <c r="G173" s="30"/>
      <c r="H173" s="30"/>
      <c r="I173" s="32"/>
      <c r="J173" s="30"/>
      <c r="K173" s="30"/>
      <c r="L173" s="34"/>
      <c r="M173" s="32"/>
      <c r="N173" s="35" t="str">
        <f aca="false">IF(OR(L173="",M173=""),"",L173+IFERROR(VLOOKUP(M173,Lists!$G$3:$H$20,2,FALSE()),0))</f>
        <v/>
      </c>
      <c r="O173" s="32"/>
      <c r="P173" s="36" t="str">
        <f aca="true">IF(OR(N173="",O173="Closed",O173="Done - to verify"),"",N173-TODAY())</f>
        <v/>
      </c>
      <c r="Q173" s="37" t="str">
        <f aca="true">IF(C173="","",IF(O173="Closed","Closed",IF(O173="Done - to verify","To verify",IF(O173="On hold","On hold",IF(N173="","Set target",IF(N173&lt;TODAY(),"OVERDUE",IF(N173-TODAY()&lt;=7,"Due soon","On track")))))))</f>
        <v/>
      </c>
      <c r="R173" s="30"/>
      <c r="S173" s="34"/>
      <c r="T173" s="30"/>
      <c r="U173" s="30"/>
      <c r="V173" s="30"/>
      <c r="W173" s="34"/>
      <c r="X173" s="30"/>
    </row>
    <row r="174" customFormat="false" ht="15" hidden="false" customHeight="false" outlineLevel="0" collapsed="false">
      <c r="A174" s="30"/>
      <c r="B174" s="30"/>
      <c r="C174" s="30"/>
      <c r="D174" s="32"/>
      <c r="E174" s="30"/>
      <c r="F174" s="30"/>
      <c r="G174" s="30"/>
      <c r="H174" s="30"/>
      <c r="I174" s="32"/>
      <c r="J174" s="30"/>
      <c r="K174" s="30"/>
      <c r="L174" s="34"/>
      <c r="M174" s="32"/>
      <c r="N174" s="35" t="str">
        <f aca="false">IF(OR(L174="",M174=""),"",L174+IFERROR(VLOOKUP(M174,Lists!$G$3:$H$20,2,FALSE()),0))</f>
        <v/>
      </c>
      <c r="O174" s="32"/>
      <c r="P174" s="36" t="str">
        <f aca="true">IF(OR(N174="",O174="Closed",O174="Done - to verify"),"",N174-TODAY())</f>
        <v/>
      </c>
      <c r="Q174" s="37" t="str">
        <f aca="true">IF(C174="","",IF(O174="Closed","Closed",IF(O174="Done - to verify","To verify",IF(O174="On hold","On hold",IF(N174="","Set target",IF(N174&lt;TODAY(),"OVERDUE",IF(N174-TODAY()&lt;=7,"Due soon","On track")))))))</f>
        <v/>
      </c>
      <c r="R174" s="30"/>
      <c r="S174" s="34"/>
      <c r="T174" s="30"/>
      <c r="U174" s="30"/>
      <c r="V174" s="30"/>
      <c r="W174" s="34"/>
      <c r="X174" s="30"/>
    </row>
    <row r="175" customFormat="false" ht="15" hidden="false" customHeight="false" outlineLevel="0" collapsed="false">
      <c r="A175" s="30"/>
      <c r="B175" s="30"/>
      <c r="C175" s="30"/>
      <c r="D175" s="32"/>
      <c r="E175" s="30"/>
      <c r="F175" s="30"/>
      <c r="G175" s="30"/>
      <c r="H175" s="30"/>
      <c r="I175" s="32"/>
      <c r="J175" s="30"/>
      <c r="K175" s="30"/>
      <c r="L175" s="34"/>
      <c r="M175" s="32"/>
      <c r="N175" s="35" t="str">
        <f aca="false">IF(OR(L175="",M175=""),"",L175+IFERROR(VLOOKUP(M175,Lists!$G$3:$H$20,2,FALSE()),0))</f>
        <v/>
      </c>
      <c r="O175" s="32"/>
      <c r="P175" s="36" t="str">
        <f aca="true">IF(OR(N175="",O175="Closed",O175="Done - to verify"),"",N175-TODAY())</f>
        <v/>
      </c>
      <c r="Q175" s="37" t="str">
        <f aca="true">IF(C175="","",IF(O175="Closed","Closed",IF(O175="Done - to verify","To verify",IF(O175="On hold","On hold",IF(N175="","Set target",IF(N175&lt;TODAY(),"OVERDUE",IF(N175-TODAY()&lt;=7,"Due soon","On track")))))))</f>
        <v/>
      </c>
      <c r="R175" s="30"/>
      <c r="S175" s="34"/>
      <c r="T175" s="30"/>
      <c r="U175" s="30"/>
      <c r="V175" s="30"/>
      <c r="W175" s="34"/>
      <c r="X175" s="30"/>
    </row>
    <row r="176" customFormat="false" ht="15" hidden="false" customHeight="false" outlineLevel="0" collapsed="false">
      <c r="A176" s="30"/>
      <c r="B176" s="30"/>
      <c r="C176" s="30"/>
      <c r="D176" s="32"/>
      <c r="E176" s="30"/>
      <c r="F176" s="30"/>
      <c r="G176" s="30"/>
      <c r="H176" s="30"/>
      <c r="I176" s="32"/>
      <c r="J176" s="30"/>
      <c r="K176" s="30"/>
      <c r="L176" s="34"/>
      <c r="M176" s="32"/>
      <c r="N176" s="35" t="str">
        <f aca="false">IF(OR(L176="",M176=""),"",L176+IFERROR(VLOOKUP(M176,Lists!$G$3:$H$20,2,FALSE()),0))</f>
        <v/>
      </c>
      <c r="O176" s="32"/>
      <c r="P176" s="36" t="str">
        <f aca="true">IF(OR(N176="",O176="Closed",O176="Done - to verify"),"",N176-TODAY())</f>
        <v/>
      </c>
      <c r="Q176" s="37" t="str">
        <f aca="true">IF(C176="","",IF(O176="Closed","Closed",IF(O176="Done - to verify","To verify",IF(O176="On hold","On hold",IF(N176="","Set target",IF(N176&lt;TODAY(),"OVERDUE",IF(N176-TODAY()&lt;=7,"Due soon","On track")))))))</f>
        <v/>
      </c>
      <c r="R176" s="30"/>
      <c r="S176" s="34"/>
      <c r="T176" s="30"/>
      <c r="U176" s="30"/>
      <c r="V176" s="30"/>
      <c r="W176" s="34"/>
      <c r="X176" s="30"/>
    </row>
    <row r="177" customFormat="false" ht="15" hidden="false" customHeight="false" outlineLevel="0" collapsed="false">
      <c r="A177" s="30"/>
      <c r="B177" s="30"/>
      <c r="C177" s="30"/>
      <c r="D177" s="32"/>
      <c r="E177" s="30"/>
      <c r="F177" s="30"/>
      <c r="G177" s="30"/>
      <c r="H177" s="30"/>
      <c r="I177" s="32"/>
      <c r="J177" s="30"/>
      <c r="K177" s="30"/>
      <c r="L177" s="34"/>
      <c r="M177" s="32"/>
      <c r="N177" s="35" t="str">
        <f aca="false">IF(OR(L177="",M177=""),"",L177+IFERROR(VLOOKUP(M177,Lists!$G$3:$H$20,2,FALSE()),0))</f>
        <v/>
      </c>
      <c r="O177" s="32"/>
      <c r="P177" s="36" t="str">
        <f aca="true">IF(OR(N177="",O177="Closed",O177="Done - to verify"),"",N177-TODAY())</f>
        <v/>
      </c>
      <c r="Q177" s="37" t="str">
        <f aca="true">IF(C177="","",IF(O177="Closed","Closed",IF(O177="Done - to verify","To verify",IF(O177="On hold","On hold",IF(N177="","Set target",IF(N177&lt;TODAY(),"OVERDUE",IF(N177-TODAY()&lt;=7,"Due soon","On track")))))))</f>
        <v/>
      </c>
      <c r="R177" s="30"/>
      <c r="S177" s="34"/>
      <c r="T177" s="30"/>
      <c r="U177" s="30"/>
      <c r="V177" s="30"/>
      <c r="W177" s="34"/>
      <c r="X177" s="30"/>
    </row>
    <row r="178" customFormat="false" ht="15" hidden="false" customHeight="false" outlineLevel="0" collapsed="false">
      <c r="A178" s="30"/>
      <c r="B178" s="30"/>
      <c r="C178" s="30"/>
      <c r="D178" s="32"/>
      <c r="E178" s="30"/>
      <c r="F178" s="30"/>
      <c r="G178" s="30"/>
      <c r="H178" s="30"/>
      <c r="I178" s="32"/>
      <c r="J178" s="30"/>
      <c r="K178" s="30"/>
      <c r="L178" s="34"/>
      <c r="M178" s="32"/>
      <c r="N178" s="35" t="str">
        <f aca="false">IF(OR(L178="",M178=""),"",L178+IFERROR(VLOOKUP(M178,Lists!$G$3:$H$20,2,FALSE()),0))</f>
        <v/>
      </c>
      <c r="O178" s="32"/>
      <c r="P178" s="36" t="str">
        <f aca="true">IF(OR(N178="",O178="Closed",O178="Done - to verify"),"",N178-TODAY())</f>
        <v/>
      </c>
      <c r="Q178" s="37" t="str">
        <f aca="true">IF(C178="","",IF(O178="Closed","Closed",IF(O178="Done - to verify","To verify",IF(O178="On hold","On hold",IF(N178="","Set target",IF(N178&lt;TODAY(),"OVERDUE",IF(N178-TODAY()&lt;=7,"Due soon","On track")))))))</f>
        <v/>
      </c>
      <c r="R178" s="30"/>
      <c r="S178" s="34"/>
      <c r="T178" s="30"/>
      <c r="U178" s="30"/>
      <c r="V178" s="30"/>
      <c r="W178" s="34"/>
      <c r="X178" s="30"/>
    </row>
    <row r="179" customFormat="false" ht="15" hidden="false" customHeight="false" outlineLevel="0" collapsed="false">
      <c r="A179" s="30"/>
      <c r="B179" s="30"/>
      <c r="C179" s="30"/>
      <c r="D179" s="32"/>
      <c r="E179" s="30"/>
      <c r="F179" s="30"/>
      <c r="G179" s="30"/>
      <c r="H179" s="30"/>
      <c r="I179" s="32"/>
      <c r="J179" s="30"/>
      <c r="K179" s="30"/>
      <c r="L179" s="34"/>
      <c r="M179" s="32"/>
      <c r="N179" s="35" t="str">
        <f aca="false">IF(OR(L179="",M179=""),"",L179+IFERROR(VLOOKUP(M179,Lists!$G$3:$H$20,2,FALSE()),0))</f>
        <v/>
      </c>
      <c r="O179" s="32"/>
      <c r="P179" s="36" t="str">
        <f aca="true">IF(OR(N179="",O179="Closed",O179="Done - to verify"),"",N179-TODAY())</f>
        <v/>
      </c>
      <c r="Q179" s="37" t="str">
        <f aca="true">IF(C179="","",IF(O179="Closed","Closed",IF(O179="Done - to verify","To verify",IF(O179="On hold","On hold",IF(N179="","Set target",IF(N179&lt;TODAY(),"OVERDUE",IF(N179-TODAY()&lt;=7,"Due soon","On track")))))))</f>
        <v/>
      </c>
      <c r="R179" s="30"/>
      <c r="S179" s="34"/>
      <c r="T179" s="30"/>
      <c r="U179" s="30"/>
      <c r="V179" s="30"/>
      <c r="W179" s="34"/>
      <c r="X179" s="30"/>
    </row>
    <row r="180" customFormat="false" ht="15" hidden="false" customHeight="false" outlineLevel="0" collapsed="false">
      <c r="A180" s="30"/>
      <c r="B180" s="30"/>
      <c r="C180" s="30"/>
      <c r="D180" s="32"/>
      <c r="E180" s="30"/>
      <c r="F180" s="30"/>
      <c r="G180" s="30"/>
      <c r="H180" s="30"/>
      <c r="I180" s="32"/>
      <c r="J180" s="30"/>
      <c r="K180" s="30"/>
      <c r="L180" s="34"/>
      <c r="M180" s="32"/>
      <c r="N180" s="35" t="str">
        <f aca="false">IF(OR(L180="",M180=""),"",L180+IFERROR(VLOOKUP(M180,Lists!$G$3:$H$20,2,FALSE()),0))</f>
        <v/>
      </c>
      <c r="O180" s="32"/>
      <c r="P180" s="36" t="str">
        <f aca="true">IF(OR(N180="",O180="Closed",O180="Done - to verify"),"",N180-TODAY())</f>
        <v/>
      </c>
      <c r="Q180" s="37" t="str">
        <f aca="true">IF(C180="","",IF(O180="Closed","Closed",IF(O180="Done - to verify","To verify",IF(O180="On hold","On hold",IF(N180="","Set target",IF(N180&lt;TODAY(),"OVERDUE",IF(N180-TODAY()&lt;=7,"Due soon","On track")))))))</f>
        <v/>
      </c>
      <c r="R180" s="30"/>
      <c r="S180" s="34"/>
      <c r="T180" s="30"/>
      <c r="U180" s="30"/>
      <c r="V180" s="30"/>
      <c r="W180" s="34"/>
      <c r="X180" s="30"/>
    </row>
    <row r="181" customFormat="false" ht="15" hidden="false" customHeight="false" outlineLevel="0" collapsed="false">
      <c r="A181" s="30"/>
      <c r="B181" s="30"/>
      <c r="C181" s="30"/>
      <c r="D181" s="32"/>
      <c r="E181" s="30"/>
      <c r="F181" s="30"/>
      <c r="G181" s="30"/>
      <c r="H181" s="30"/>
      <c r="I181" s="32"/>
      <c r="J181" s="30"/>
      <c r="K181" s="30"/>
      <c r="L181" s="34"/>
      <c r="M181" s="32"/>
      <c r="N181" s="35" t="str">
        <f aca="false">IF(OR(L181="",M181=""),"",L181+IFERROR(VLOOKUP(M181,Lists!$G$3:$H$20,2,FALSE()),0))</f>
        <v/>
      </c>
      <c r="O181" s="32"/>
      <c r="P181" s="36" t="str">
        <f aca="true">IF(OR(N181="",O181="Closed",O181="Done - to verify"),"",N181-TODAY())</f>
        <v/>
      </c>
      <c r="Q181" s="37" t="str">
        <f aca="true">IF(C181="","",IF(O181="Closed","Closed",IF(O181="Done - to verify","To verify",IF(O181="On hold","On hold",IF(N181="","Set target",IF(N181&lt;TODAY(),"OVERDUE",IF(N181-TODAY()&lt;=7,"Due soon","On track")))))))</f>
        <v/>
      </c>
      <c r="R181" s="30"/>
      <c r="S181" s="34"/>
      <c r="T181" s="30"/>
      <c r="U181" s="30"/>
      <c r="V181" s="30"/>
      <c r="W181" s="34"/>
      <c r="X181" s="30"/>
    </row>
    <row r="182" customFormat="false" ht="15" hidden="false" customHeight="false" outlineLevel="0" collapsed="false">
      <c r="A182" s="30"/>
      <c r="B182" s="30"/>
      <c r="C182" s="30"/>
      <c r="D182" s="32"/>
      <c r="E182" s="30"/>
      <c r="F182" s="30"/>
      <c r="G182" s="30"/>
      <c r="H182" s="30"/>
      <c r="I182" s="32"/>
      <c r="J182" s="30"/>
      <c r="K182" s="30"/>
      <c r="L182" s="34"/>
      <c r="M182" s="32"/>
      <c r="N182" s="35" t="str">
        <f aca="false">IF(OR(L182="",M182=""),"",L182+IFERROR(VLOOKUP(M182,Lists!$G$3:$H$20,2,FALSE()),0))</f>
        <v/>
      </c>
      <c r="O182" s="32"/>
      <c r="P182" s="36" t="str">
        <f aca="true">IF(OR(N182="",O182="Closed",O182="Done - to verify"),"",N182-TODAY())</f>
        <v/>
      </c>
      <c r="Q182" s="37" t="str">
        <f aca="true">IF(C182="","",IF(O182="Closed","Closed",IF(O182="Done - to verify","To verify",IF(O182="On hold","On hold",IF(N182="","Set target",IF(N182&lt;TODAY(),"OVERDUE",IF(N182-TODAY()&lt;=7,"Due soon","On track")))))))</f>
        <v/>
      </c>
      <c r="R182" s="30"/>
      <c r="S182" s="34"/>
      <c r="T182" s="30"/>
      <c r="U182" s="30"/>
      <c r="V182" s="30"/>
      <c r="W182" s="34"/>
      <c r="X182" s="30"/>
    </row>
    <row r="183" customFormat="false" ht="15" hidden="false" customHeight="false" outlineLevel="0" collapsed="false">
      <c r="A183" s="30"/>
      <c r="B183" s="30"/>
      <c r="C183" s="30"/>
      <c r="D183" s="32"/>
      <c r="E183" s="30"/>
      <c r="F183" s="30"/>
      <c r="G183" s="30"/>
      <c r="H183" s="30"/>
      <c r="I183" s="32"/>
      <c r="J183" s="30"/>
      <c r="K183" s="30"/>
      <c r="L183" s="34"/>
      <c r="M183" s="32"/>
      <c r="N183" s="35" t="str">
        <f aca="false">IF(OR(L183="",M183=""),"",L183+IFERROR(VLOOKUP(M183,Lists!$G$3:$H$20,2,FALSE()),0))</f>
        <v/>
      </c>
      <c r="O183" s="32"/>
      <c r="P183" s="36" t="str">
        <f aca="true">IF(OR(N183="",O183="Closed",O183="Done - to verify"),"",N183-TODAY())</f>
        <v/>
      </c>
      <c r="Q183" s="37" t="str">
        <f aca="true">IF(C183="","",IF(O183="Closed","Closed",IF(O183="Done - to verify","To verify",IF(O183="On hold","On hold",IF(N183="","Set target",IF(N183&lt;TODAY(),"OVERDUE",IF(N183-TODAY()&lt;=7,"Due soon","On track")))))))</f>
        <v/>
      </c>
      <c r="R183" s="30"/>
      <c r="S183" s="34"/>
      <c r="T183" s="30"/>
      <c r="U183" s="30"/>
      <c r="V183" s="30"/>
      <c r="W183" s="34"/>
      <c r="X183" s="30"/>
    </row>
    <row r="184" customFormat="false" ht="15" hidden="false" customHeight="false" outlineLevel="0" collapsed="false">
      <c r="A184" s="30"/>
      <c r="B184" s="30"/>
      <c r="C184" s="30"/>
      <c r="D184" s="32"/>
      <c r="E184" s="30"/>
      <c r="F184" s="30"/>
      <c r="G184" s="30"/>
      <c r="H184" s="30"/>
      <c r="I184" s="32"/>
      <c r="J184" s="30"/>
      <c r="K184" s="30"/>
      <c r="L184" s="34"/>
      <c r="M184" s="32"/>
      <c r="N184" s="35" t="str">
        <f aca="false">IF(OR(L184="",M184=""),"",L184+IFERROR(VLOOKUP(M184,Lists!$G$3:$H$20,2,FALSE()),0))</f>
        <v/>
      </c>
      <c r="O184" s="32"/>
      <c r="P184" s="36" t="str">
        <f aca="true">IF(OR(N184="",O184="Closed",O184="Done - to verify"),"",N184-TODAY())</f>
        <v/>
      </c>
      <c r="Q184" s="37" t="str">
        <f aca="true">IF(C184="","",IF(O184="Closed","Closed",IF(O184="Done - to verify","To verify",IF(O184="On hold","On hold",IF(N184="","Set target",IF(N184&lt;TODAY(),"OVERDUE",IF(N184-TODAY()&lt;=7,"Due soon","On track")))))))</f>
        <v/>
      </c>
      <c r="R184" s="30"/>
      <c r="S184" s="34"/>
      <c r="T184" s="30"/>
      <c r="U184" s="30"/>
      <c r="V184" s="30"/>
      <c r="W184" s="34"/>
      <c r="X184" s="30"/>
    </row>
    <row r="185" customFormat="false" ht="15" hidden="false" customHeight="false" outlineLevel="0" collapsed="false">
      <c r="A185" s="30"/>
      <c r="B185" s="30"/>
      <c r="C185" s="30"/>
      <c r="D185" s="32"/>
      <c r="E185" s="30"/>
      <c r="F185" s="30"/>
      <c r="G185" s="30"/>
      <c r="H185" s="30"/>
      <c r="I185" s="32"/>
      <c r="J185" s="30"/>
      <c r="K185" s="30"/>
      <c r="L185" s="34"/>
      <c r="M185" s="32"/>
      <c r="N185" s="35" t="str">
        <f aca="false">IF(OR(L185="",M185=""),"",L185+IFERROR(VLOOKUP(M185,Lists!$G$3:$H$20,2,FALSE()),0))</f>
        <v/>
      </c>
      <c r="O185" s="32"/>
      <c r="P185" s="36" t="str">
        <f aca="true">IF(OR(N185="",O185="Closed",O185="Done - to verify"),"",N185-TODAY())</f>
        <v/>
      </c>
      <c r="Q185" s="37" t="str">
        <f aca="true">IF(C185="","",IF(O185="Closed","Closed",IF(O185="Done - to verify","To verify",IF(O185="On hold","On hold",IF(N185="","Set target",IF(N185&lt;TODAY(),"OVERDUE",IF(N185-TODAY()&lt;=7,"Due soon","On track")))))))</f>
        <v/>
      </c>
      <c r="R185" s="30"/>
      <c r="S185" s="34"/>
      <c r="T185" s="30"/>
      <c r="U185" s="30"/>
      <c r="V185" s="30"/>
      <c r="W185" s="34"/>
      <c r="X185" s="30"/>
    </row>
    <row r="186" customFormat="false" ht="15" hidden="false" customHeight="false" outlineLevel="0" collapsed="false">
      <c r="A186" s="30"/>
      <c r="B186" s="30"/>
      <c r="C186" s="30"/>
      <c r="D186" s="32"/>
      <c r="E186" s="30"/>
      <c r="F186" s="30"/>
      <c r="G186" s="30"/>
      <c r="H186" s="30"/>
      <c r="I186" s="32"/>
      <c r="J186" s="30"/>
      <c r="K186" s="30"/>
      <c r="L186" s="34"/>
      <c r="M186" s="32"/>
      <c r="N186" s="35" t="str">
        <f aca="false">IF(OR(L186="",M186=""),"",L186+IFERROR(VLOOKUP(M186,Lists!$G$3:$H$20,2,FALSE()),0))</f>
        <v/>
      </c>
      <c r="O186" s="32"/>
      <c r="P186" s="36" t="str">
        <f aca="true">IF(OR(N186="",O186="Closed",O186="Done - to verify"),"",N186-TODAY())</f>
        <v/>
      </c>
      <c r="Q186" s="37" t="str">
        <f aca="true">IF(C186="","",IF(O186="Closed","Closed",IF(O186="Done - to verify","To verify",IF(O186="On hold","On hold",IF(N186="","Set target",IF(N186&lt;TODAY(),"OVERDUE",IF(N186-TODAY()&lt;=7,"Due soon","On track")))))))</f>
        <v/>
      </c>
      <c r="R186" s="30"/>
      <c r="S186" s="34"/>
      <c r="T186" s="30"/>
      <c r="U186" s="30"/>
      <c r="V186" s="30"/>
      <c r="W186" s="34"/>
      <c r="X186" s="30"/>
    </row>
    <row r="187" customFormat="false" ht="15" hidden="false" customHeight="false" outlineLevel="0" collapsed="false">
      <c r="A187" s="30"/>
      <c r="B187" s="30"/>
      <c r="C187" s="30"/>
      <c r="D187" s="32"/>
      <c r="E187" s="30"/>
      <c r="F187" s="30"/>
      <c r="G187" s="30"/>
      <c r="H187" s="30"/>
      <c r="I187" s="32"/>
      <c r="J187" s="30"/>
      <c r="K187" s="30"/>
      <c r="L187" s="34"/>
      <c r="M187" s="32"/>
      <c r="N187" s="35" t="str">
        <f aca="false">IF(OR(L187="",M187=""),"",L187+IFERROR(VLOOKUP(M187,Lists!$G$3:$H$20,2,FALSE()),0))</f>
        <v/>
      </c>
      <c r="O187" s="32"/>
      <c r="P187" s="36" t="str">
        <f aca="true">IF(OR(N187="",O187="Closed",O187="Done - to verify"),"",N187-TODAY())</f>
        <v/>
      </c>
      <c r="Q187" s="37" t="str">
        <f aca="true">IF(C187="","",IF(O187="Closed","Closed",IF(O187="Done - to verify","To verify",IF(O187="On hold","On hold",IF(N187="","Set target",IF(N187&lt;TODAY(),"OVERDUE",IF(N187-TODAY()&lt;=7,"Due soon","On track")))))))</f>
        <v/>
      </c>
      <c r="R187" s="30"/>
      <c r="S187" s="34"/>
      <c r="T187" s="30"/>
      <c r="U187" s="30"/>
      <c r="V187" s="30"/>
      <c r="W187" s="34"/>
      <c r="X187" s="30"/>
    </row>
    <row r="188" customFormat="false" ht="15" hidden="false" customHeight="false" outlineLevel="0" collapsed="false">
      <c r="A188" s="30"/>
      <c r="B188" s="30"/>
      <c r="C188" s="30"/>
      <c r="D188" s="32"/>
      <c r="E188" s="30"/>
      <c r="F188" s="30"/>
      <c r="G188" s="30"/>
      <c r="H188" s="30"/>
      <c r="I188" s="32"/>
      <c r="J188" s="30"/>
      <c r="K188" s="30"/>
      <c r="L188" s="34"/>
      <c r="M188" s="32"/>
      <c r="N188" s="35" t="str">
        <f aca="false">IF(OR(L188="",M188=""),"",L188+IFERROR(VLOOKUP(M188,Lists!$G$3:$H$20,2,FALSE()),0))</f>
        <v/>
      </c>
      <c r="O188" s="32"/>
      <c r="P188" s="36" t="str">
        <f aca="true">IF(OR(N188="",O188="Closed",O188="Done - to verify"),"",N188-TODAY())</f>
        <v/>
      </c>
      <c r="Q188" s="37" t="str">
        <f aca="true">IF(C188="","",IF(O188="Closed","Closed",IF(O188="Done - to verify","To verify",IF(O188="On hold","On hold",IF(N188="","Set target",IF(N188&lt;TODAY(),"OVERDUE",IF(N188-TODAY()&lt;=7,"Due soon","On track")))))))</f>
        <v/>
      </c>
      <c r="R188" s="30"/>
      <c r="S188" s="34"/>
      <c r="T188" s="30"/>
      <c r="U188" s="30"/>
      <c r="V188" s="30"/>
      <c r="W188" s="34"/>
      <c r="X188" s="30"/>
    </row>
    <row r="189" customFormat="false" ht="15" hidden="false" customHeight="false" outlineLevel="0" collapsed="false">
      <c r="A189" s="30"/>
      <c r="B189" s="30"/>
      <c r="C189" s="30"/>
      <c r="D189" s="32"/>
      <c r="E189" s="30"/>
      <c r="F189" s="30"/>
      <c r="G189" s="30"/>
      <c r="H189" s="30"/>
      <c r="I189" s="32"/>
      <c r="J189" s="30"/>
      <c r="K189" s="30"/>
      <c r="L189" s="34"/>
      <c r="M189" s="32"/>
      <c r="N189" s="35" t="str">
        <f aca="false">IF(OR(L189="",M189=""),"",L189+IFERROR(VLOOKUP(M189,Lists!$G$3:$H$20,2,FALSE()),0))</f>
        <v/>
      </c>
      <c r="O189" s="32"/>
      <c r="P189" s="36" t="str">
        <f aca="true">IF(OR(N189="",O189="Closed",O189="Done - to verify"),"",N189-TODAY())</f>
        <v/>
      </c>
      <c r="Q189" s="37" t="str">
        <f aca="true">IF(C189="","",IF(O189="Closed","Closed",IF(O189="Done - to verify","To verify",IF(O189="On hold","On hold",IF(N189="","Set target",IF(N189&lt;TODAY(),"OVERDUE",IF(N189-TODAY()&lt;=7,"Due soon","On track")))))))</f>
        <v/>
      </c>
      <c r="R189" s="30"/>
      <c r="S189" s="34"/>
      <c r="T189" s="30"/>
      <c r="U189" s="30"/>
      <c r="V189" s="30"/>
      <c r="W189" s="34"/>
      <c r="X189" s="30"/>
    </row>
    <row r="190" customFormat="false" ht="15" hidden="false" customHeight="false" outlineLevel="0" collapsed="false">
      <c r="A190" s="30"/>
      <c r="B190" s="30"/>
      <c r="C190" s="30"/>
      <c r="D190" s="32"/>
      <c r="E190" s="30"/>
      <c r="F190" s="30"/>
      <c r="G190" s="30"/>
      <c r="H190" s="30"/>
      <c r="I190" s="32"/>
      <c r="J190" s="30"/>
      <c r="K190" s="30"/>
      <c r="L190" s="34"/>
      <c r="M190" s="32"/>
      <c r="N190" s="35" t="str">
        <f aca="false">IF(OR(L190="",M190=""),"",L190+IFERROR(VLOOKUP(M190,Lists!$G$3:$H$20,2,FALSE()),0))</f>
        <v/>
      </c>
      <c r="O190" s="32"/>
      <c r="P190" s="36" t="str">
        <f aca="true">IF(OR(N190="",O190="Closed",O190="Done - to verify"),"",N190-TODAY())</f>
        <v/>
      </c>
      <c r="Q190" s="37" t="str">
        <f aca="true">IF(C190="","",IF(O190="Closed","Closed",IF(O190="Done - to verify","To verify",IF(O190="On hold","On hold",IF(N190="","Set target",IF(N190&lt;TODAY(),"OVERDUE",IF(N190-TODAY()&lt;=7,"Due soon","On track")))))))</f>
        <v/>
      </c>
      <c r="R190" s="30"/>
      <c r="S190" s="34"/>
      <c r="T190" s="30"/>
      <c r="U190" s="30"/>
      <c r="V190" s="30"/>
      <c r="W190" s="34"/>
      <c r="X190" s="30"/>
    </row>
    <row r="191" customFormat="false" ht="15" hidden="false" customHeight="false" outlineLevel="0" collapsed="false">
      <c r="A191" s="30"/>
      <c r="B191" s="30"/>
      <c r="C191" s="30"/>
      <c r="D191" s="32"/>
      <c r="E191" s="30"/>
      <c r="F191" s="30"/>
      <c r="G191" s="30"/>
      <c r="H191" s="30"/>
      <c r="I191" s="32"/>
      <c r="J191" s="30"/>
      <c r="K191" s="30"/>
      <c r="L191" s="34"/>
      <c r="M191" s="32"/>
      <c r="N191" s="35" t="str">
        <f aca="false">IF(OR(L191="",M191=""),"",L191+IFERROR(VLOOKUP(M191,Lists!$G$3:$H$20,2,FALSE()),0))</f>
        <v/>
      </c>
      <c r="O191" s="32"/>
      <c r="P191" s="36" t="str">
        <f aca="true">IF(OR(N191="",O191="Closed",O191="Done - to verify"),"",N191-TODAY())</f>
        <v/>
      </c>
      <c r="Q191" s="37" t="str">
        <f aca="true">IF(C191="","",IF(O191="Closed","Closed",IF(O191="Done - to verify","To verify",IF(O191="On hold","On hold",IF(N191="","Set target",IF(N191&lt;TODAY(),"OVERDUE",IF(N191-TODAY()&lt;=7,"Due soon","On track")))))))</f>
        <v/>
      </c>
      <c r="R191" s="30"/>
      <c r="S191" s="34"/>
      <c r="T191" s="30"/>
      <c r="U191" s="30"/>
      <c r="V191" s="30"/>
      <c r="W191" s="34"/>
      <c r="X191" s="30"/>
    </row>
    <row r="192" customFormat="false" ht="15" hidden="false" customHeight="false" outlineLevel="0" collapsed="false">
      <c r="A192" s="30"/>
      <c r="B192" s="30"/>
      <c r="C192" s="30"/>
      <c r="D192" s="32"/>
      <c r="E192" s="30"/>
      <c r="F192" s="30"/>
      <c r="G192" s="30"/>
      <c r="H192" s="30"/>
      <c r="I192" s="32"/>
      <c r="J192" s="30"/>
      <c r="K192" s="30"/>
      <c r="L192" s="34"/>
      <c r="M192" s="32"/>
      <c r="N192" s="35" t="str">
        <f aca="false">IF(OR(L192="",M192=""),"",L192+IFERROR(VLOOKUP(M192,Lists!$G$3:$H$20,2,FALSE()),0))</f>
        <v/>
      </c>
      <c r="O192" s="32"/>
      <c r="P192" s="36" t="str">
        <f aca="true">IF(OR(N192="",O192="Closed",O192="Done - to verify"),"",N192-TODAY())</f>
        <v/>
      </c>
      <c r="Q192" s="37" t="str">
        <f aca="true">IF(C192="","",IF(O192="Closed","Closed",IF(O192="Done - to verify","To verify",IF(O192="On hold","On hold",IF(N192="","Set target",IF(N192&lt;TODAY(),"OVERDUE",IF(N192-TODAY()&lt;=7,"Due soon","On track")))))))</f>
        <v/>
      </c>
      <c r="R192" s="30"/>
      <c r="S192" s="34"/>
      <c r="T192" s="30"/>
      <c r="U192" s="30"/>
      <c r="V192" s="30"/>
      <c r="W192" s="34"/>
      <c r="X192" s="30"/>
    </row>
    <row r="193" customFormat="false" ht="15" hidden="false" customHeight="false" outlineLevel="0" collapsed="false">
      <c r="A193" s="30"/>
      <c r="B193" s="30"/>
      <c r="C193" s="30"/>
      <c r="D193" s="32"/>
      <c r="E193" s="30"/>
      <c r="F193" s="30"/>
      <c r="G193" s="30"/>
      <c r="H193" s="30"/>
      <c r="I193" s="32"/>
      <c r="J193" s="30"/>
      <c r="K193" s="30"/>
      <c r="L193" s="34"/>
      <c r="M193" s="32"/>
      <c r="N193" s="35" t="str">
        <f aca="false">IF(OR(L193="",M193=""),"",L193+IFERROR(VLOOKUP(M193,Lists!$G$3:$H$20,2,FALSE()),0))</f>
        <v/>
      </c>
      <c r="O193" s="32"/>
      <c r="P193" s="36" t="str">
        <f aca="true">IF(OR(N193="",O193="Closed",O193="Done - to verify"),"",N193-TODAY())</f>
        <v/>
      </c>
      <c r="Q193" s="37" t="str">
        <f aca="true">IF(C193="","",IF(O193="Closed","Closed",IF(O193="Done - to verify","To verify",IF(O193="On hold","On hold",IF(N193="","Set target",IF(N193&lt;TODAY(),"OVERDUE",IF(N193-TODAY()&lt;=7,"Due soon","On track")))))))</f>
        <v/>
      </c>
      <c r="R193" s="30"/>
      <c r="S193" s="34"/>
      <c r="T193" s="30"/>
      <c r="U193" s="30"/>
      <c r="V193" s="30"/>
      <c r="W193" s="34"/>
      <c r="X193" s="30"/>
    </row>
    <row r="194" customFormat="false" ht="15" hidden="false" customHeight="false" outlineLevel="0" collapsed="false">
      <c r="A194" s="30"/>
      <c r="B194" s="30"/>
      <c r="C194" s="30"/>
      <c r="D194" s="32"/>
      <c r="E194" s="30"/>
      <c r="F194" s="30"/>
      <c r="G194" s="30"/>
      <c r="H194" s="30"/>
      <c r="I194" s="32"/>
      <c r="J194" s="30"/>
      <c r="K194" s="30"/>
      <c r="L194" s="34"/>
      <c r="M194" s="32"/>
      <c r="N194" s="35" t="str">
        <f aca="false">IF(OR(L194="",M194=""),"",L194+IFERROR(VLOOKUP(M194,Lists!$G$3:$H$20,2,FALSE()),0))</f>
        <v/>
      </c>
      <c r="O194" s="32"/>
      <c r="P194" s="36" t="str">
        <f aca="true">IF(OR(N194="",O194="Closed",O194="Done - to verify"),"",N194-TODAY())</f>
        <v/>
      </c>
      <c r="Q194" s="37" t="str">
        <f aca="true">IF(C194="","",IF(O194="Closed","Closed",IF(O194="Done - to verify","To verify",IF(O194="On hold","On hold",IF(N194="","Set target",IF(N194&lt;TODAY(),"OVERDUE",IF(N194-TODAY()&lt;=7,"Due soon","On track")))))))</f>
        <v/>
      </c>
      <c r="R194" s="30"/>
      <c r="S194" s="34"/>
      <c r="T194" s="30"/>
      <c r="U194" s="30"/>
      <c r="V194" s="30"/>
      <c r="W194" s="34"/>
      <c r="X194" s="30"/>
    </row>
    <row r="195" customFormat="false" ht="15" hidden="false" customHeight="false" outlineLevel="0" collapsed="false">
      <c r="A195" s="30"/>
      <c r="B195" s="30"/>
      <c r="C195" s="30"/>
      <c r="D195" s="32"/>
      <c r="E195" s="30"/>
      <c r="F195" s="30"/>
      <c r="G195" s="30"/>
      <c r="H195" s="30"/>
      <c r="I195" s="32"/>
      <c r="J195" s="30"/>
      <c r="K195" s="30"/>
      <c r="L195" s="34"/>
      <c r="M195" s="32"/>
      <c r="N195" s="35" t="str">
        <f aca="false">IF(OR(L195="",M195=""),"",L195+IFERROR(VLOOKUP(M195,Lists!$G$3:$H$20,2,FALSE()),0))</f>
        <v/>
      </c>
      <c r="O195" s="32"/>
      <c r="P195" s="36" t="str">
        <f aca="true">IF(OR(N195="",O195="Closed",O195="Done - to verify"),"",N195-TODAY())</f>
        <v/>
      </c>
      <c r="Q195" s="37" t="str">
        <f aca="true">IF(C195="","",IF(O195="Closed","Closed",IF(O195="Done - to verify","To verify",IF(O195="On hold","On hold",IF(N195="","Set target",IF(N195&lt;TODAY(),"OVERDUE",IF(N195-TODAY()&lt;=7,"Due soon","On track")))))))</f>
        <v/>
      </c>
      <c r="R195" s="30"/>
      <c r="S195" s="34"/>
      <c r="T195" s="30"/>
      <c r="U195" s="30"/>
      <c r="V195" s="30"/>
      <c r="W195" s="34"/>
      <c r="X195" s="30"/>
    </row>
    <row r="196" customFormat="false" ht="15" hidden="false" customHeight="false" outlineLevel="0" collapsed="false">
      <c r="A196" s="30"/>
      <c r="B196" s="30"/>
      <c r="C196" s="30"/>
      <c r="D196" s="32"/>
      <c r="E196" s="30"/>
      <c r="F196" s="30"/>
      <c r="G196" s="30"/>
      <c r="H196" s="30"/>
      <c r="I196" s="32"/>
      <c r="J196" s="30"/>
      <c r="K196" s="30"/>
      <c r="L196" s="34"/>
      <c r="M196" s="32"/>
      <c r="N196" s="35" t="str">
        <f aca="false">IF(OR(L196="",M196=""),"",L196+IFERROR(VLOOKUP(M196,Lists!$G$3:$H$20,2,FALSE()),0))</f>
        <v/>
      </c>
      <c r="O196" s="32"/>
      <c r="P196" s="36" t="str">
        <f aca="true">IF(OR(N196="",O196="Closed",O196="Done - to verify"),"",N196-TODAY())</f>
        <v/>
      </c>
      <c r="Q196" s="37" t="str">
        <f aca="true">IF(C196="","",IF(O196="Closed","Closed",IF(O196="Done - to verify","To verify",IF(O196="On hold","On hold",IF(N196="","Set target",IF(N196&lt;TODAY(),"OVERDUE",IF(N196-TODAY()&lt;=7,"Due soon","On track")))))))</f>
        <v/>
      </c>
      <c r="R196" s="30"/>
      <c r="S196" s="34"/>
      <c r="T196" s="30"/>
      <c r="U196" s="30"/>
      <c r="V196" s="30"/>
      <c r="W196" s="34"/>
      <c r="X196" s="30"/>
    </row>
    <row r="197" customFormat="false" ht="15" hidden="false" customHeight="false" outlineLevel="0" collapsed="false">
      <c r="A197" s="30"/>
      <c r="B197" s="30"/>
      <c r="C197" s="30"/>
      <c r="D197" s="32"/>
      <c r="E197" s="30"/>
      <c r="F197" s="30"/>
      <c r="G197" s="30"/>
      <c r="H197" s="30"/>
      <c r="I197" s="32"/>
      <c r="J197" s="30"/>
      <c r="K197" s="30"/>
      <c r="L197" s="34"/>
      <c r="M197" s="32"/>
      <c r="N197" s="35" t="str">
        <f aca="false">IF(OR(L197="",M197=""),"",L197+IFERROR(VLOOKUP(M197,Lists!$G$3:$H$20,2,FALSE()),0))</f>
        <v/>
      </c>
      <c r="O197" s="32"/>
      <c r="P197" s="36" t="str">
        <f aca="true">IF(OR(N197="",O197="Closed",O197="Done - to verify"),"",N197-TODAY())</f>
        <v/>
      </c>
      <c r="Q197" s="37" t="str">
        <f aca="true">IF(C197="","",IF(O197="Closed","Closed",IF(O197="Done - to verify","To verify",IF(O197="On hold","On hold",IF(N197="","Set target",IF(N197&lt;TODAY(),"OVERDUE",IF(N197-TODAY()&lt;=7,"Due soon","On track")))))))</f>
        <v/>
      </c>
      <c r="R197" s="30"/>
      <c r="S197" s="34"/>
      <c r="T197" s="30"/>
      <c r="U197" s="30"/>
      <c r="V197" s="30"/>
      <c r="W197" s="34"/>
      <c r="X197" s="30"/>
    </row>
    <row r="198" customFormat="false" ht="15" hidden="false" customHeight="false" outlineLevel="0" collapsed="false">
      <c r="A198" s="30"/>
      <c r="B198" s="30"/>
      <c r="C198" s="30"/>
      <c r="D198" s="32"/>
      <c r="E198" s="30"/>
      <c r="F198" s="30"/>
      <c r="G198" s="30"/>
      <c r="H198" s="30"/>
      <c r="I198" s="32"/>
      <c r="J198" s="30"/>
      <c r="K198" s="30"/>
      <c r="L198" s="34"/>
      <c r="M198" s="32"/>
      <c r="N198" s="35" t="str">
        <f aca="false">IF(OR(L198="",M198=""),"",L198+IFERROR(VLOOKUP(M198,Lists!$G$3:$H$20,2,FALSE()),0))</f>
        <v/>
      </c>
      <c r="O198" s="32"/>
      <c r="P198" s="36" t="str">
        <f aca="true">IF(OR(N198="",O198="Closed",O198="Done - to verify"),"",N198-TODAY())</f>
        <v/>
      </c>
      <c r="Q198" s="37" t="str">
        <f aca="true">IF(C198="","",IF(O198="Closed","Closed",IF(O198="Done - to verify","To verify",IF(O198="On hold","On hold",IF(N198="","Set target",IF(N198&lt;TODAY(),"OVERDUE",IF(N198-TODAY()&lt;=7,"Due soon","On track")))))))</f>
        <v/>
      </c>
      <c r="R198" s="30"/>
      <c r="S198" s="34"/>
      <c r="T198" s="30"/>
      <c r="U198" s="30"/>
      <c r="V198" s="30"/>
      <c r="W198" s="34"/>
      <c r="X198" s="30"/>
    </row>
    <row r="199" customFormat="false" ht="15" hidden="false" customHeight="false" outlineLevel="0" collapsed="false">
      <c r="A199" s="30"/>
      <c r="B199" s="30"/>
      <c r="C199" s="30"/>
      <c r="D199" s="32"/>
      <c r="E199" s="30"/>
      <c r="F199" s="30"/>
      <c r="G199" s="30"/>
      <c r="H199" s="30"/>
      <c r="I199" s="32"/>
      <c r="J199" s="30"/>
      <c r="K199" s="30"/>
      <c r="L199" s="34"/>
      <c r="M199" s="32"/>
      <c r="N199" s="35" t="str">
        <f aca="false">IF(OR(L199="",M199=""),"",L199+IFERROR(VLOOKUP(M199,Lists!$G$3:$H$20,2,FALSE()),0))</f>
        <v/>
      </c>
      <c r="O199" s="32"/>
      <c r="P199" s="36" t="str">
        <f aca="true">IF(OR(N199="",O199="Closed",O199="Done - to verify"),"",N199-TODAY())</f>
        <v/>
      </c>
      <c r="Q199" s="37" t="str">
        <f aca="true">IF(C199="","",IF(O199="Closed","Closed",IF(O199="Done - to verify","To verify",IF(O199="On hold","On hold",IF(N199="","Set target",IF(N199&lt;TODAY(),"OVERDUE",IF(N199-TODAY()&lt;=7,"Due soon","On track")))))))</f>
        <v/>
      </c>
      <c r="R199" s="30"/>
      <c r="S199" s="34"/>
      <c r="T199" s="30"/>
      <c r="U199" s="30"/>
      <c r="V199" s="30"/>
      <c r="W199" s="34"/>
      <c r="X199" s="30"/>
    </row>
    <row r="200" customFormat="false" ht="15" hidden="false" customHeight="false" outlineLevel="0" collapsed="false">
      <c r="A200" s="30"/>
      <c r="B200" s="30"/>
      <c r="C200" s="30"/>
      <c r="D200" s="32"/>
      <c r="E200" s="30"/>
      <c r="F200" s="30"/>
      <c r="G200" s="30"/>
      <c r="H200" s="30"/>
      <c r="I200" s="32"/>
      <c r="J200" s="30"/>
      <c r="K200" s="30"/>
      <c r="L200" s="34"/>
      <c r="M200" s="32"/>
      <c r="N200" s="35" t="str">
        <f aca="false">IF(OR(L200="",M200=""),"",L200+IFERROR(VLOOKUP(M200,Lists!$G$3:$H$20,2,FALSE()),0))</f>
        <v/>
      </c>
      <c r="O200" s="32"/>
      <c r="P200" s="36" t="str">
        <f aca="true">IF(OR(N200="",O200="Closed",O200="Done - to verify"),"",N200-TODAY())</f>
        <v/>
      </c>
      <c r="Q200" s="37" t="str">
        <f aca="true">IF(C200="","",IF(O200="Closed","Closed",IF(O200="Done - to verify","To verify",IF(O200="On hold","On hold",IF(N200="","Set target",IF(N200&lt;TODAY(),"OVERDUE",IF(N200-TODAY()&lt;=7,"Due soon","On track")))))))</f>
        <v/>
      </c>
      <c r="R200" s="30"/>
      <c r="S200" s="34"/>
      <c r="T200" s="30"/>
      <c r="U200" s="30"/>
      <c r="V200" s="30"/>
      <c r="W200" s="34"/>
      <c r="X200" s="30"/>
    </row>
    <row r="201" customFormat="false" ht="15" hidden="false" customHeight="false" outlineLevel="0" collapsed="false">
      <c r="A201" s="30"/>
      <c r="B201" s="30"/>
      <c r="C201" s="30"/>
      <c r="D201" s="32"/>
      <c r="E201" s="30"/>
      <c r="F201" s="30"/>
      <c r="G201" s="30"/>
      <c r="H201" s="30"/>
      <c r="I201" s="32"/>
      <c r="J201" s="30"/>
      <c r="K201" s="30"/>
      <c r="L201" s="34"/>
      <c r="M201" s="32"/>
      <c r="N201" s="35" t="str">
        <f aca="false">IF(OR(L201="",M201=""),"",L201+IFERROR(VLOOKUP(M201,Lists!$G$3:$H$20,2,FALSE()),0))</f>
        <v/>
      </c>
      <c r="O201" s="32"/>
      <c r="P201" s="36" t="str">
        <f aca="true">IF(OR(N201="",O201="Closed",O201="Done - to verify"),"",N201-TODAY())</f>
        <v/>
      </c>
      <c r="Q201" s="37" t="str">
        <f aca="true">IF(C201="","",IF(O201="Closed","Closed",IF(O201="Done - to verify","To verify",IF(O201="On hold","On hold",IF(N201="","Set target",IF(N201&lt;TODAY(),"OVERDUE",IF(N201-TODAY()&lt;=7,"Due soon","On track")))))))</f>
        <v/>
      </c>
      <c r="R201" s="30"/>
      <c r="S201" s="34"/>
      <c r="T201" s="30"/>
      <c r="U201" s="30"/>
      <c r="V201" s="30"/>
      <c r="W201" s="34"/>
      <c r="X201" s="30"/>
    </row>
    <row r="202" customFormat="false" ht="15" hidden="false" customHeight="false" outlineLevel="0" collapsed="false">
      <c r="A202" s="30"/>
      <c r="B202" s="30"/>
      <c r="C202" s="30"/>
      <c r="D202" s="32"/>
      <c r="E202" s="30"/>
      <c r="F202" s="30"/>
      <c r="G202" s="30"/>
      <c r="H202" s="30"/>
      <c r="I202" s="32"/>
      <c r="J202" s="30"/>
      <c r="K202" s="30"/>
      <c r="L202" s="34"/>
      <c r="M202" s="32"/>
      <c r="N202" s="35" t="str">
        <f aca="false">IF(OR(L202="",M202=""),"",L202+IFERROR(VLOOKUP(M202,Lists!$G$3:$H$20,2,FALSE()),0))</f>
        <v/>
      </c>
      <c r="O202" s="32"/>
      <c r="P202" s="36" t="str">
        <f aca="true">IF(OR(N202="",O202="Closed",O202="Done - to verify"),"",N202-TODAY())</f>
        <v/>
      </c>
      <c r="Q202" s="37" t="str">
        <f aca="true">IF(C202="","",IF(O202="Closed","Closed",IF(O202="Done - to verify","To verify",IF(O202="On hold","On hold",IF(N202="","Set target",IF(N202&lt;TODAY(),"OVERDUE",IF(N202-TODAY()&lt;=7,"Due soon","On track")))))))</f>
        <v/>
      </c>
      <c r="R202" s="30"/>
      <c r="S202" s="34"/>
      <c r="T202" s="30"/>
      <c r="U202" s="30"/>
      <c r="V202" s="30"/>
      <c r="W202" s="34"/>
      <c r="X202" s="30"/>
    </row>
    <row r="203" customFormat="false" ht="15" hidden="false" customHeight="false" outlineLevel="0" collapsed="false">
      <c r="A203" s="30"/>
      <c r="B203" s="30"/>
      <c r="C203" s="30"/>
      <c r="D203" s="32"/>
      <c r="E203" s="30"/>
      <c r="F203" s="30"/>
      <c r="G203" s="30"/>
      <c r="H203" s="30"/>
      <c r="I203" s="32"/>
      <c r="J203" s="30"/>
      <c r="K203" s="30"/>
      <c r="L203" s="34"/>
      <c r="M203" s="32"/>
      <c r="N203" s="35" t="str">
        <f aca="false">IF(OR(L203="",M203=""),"",L203+IFERROR(VLOOKUP(M203,Lists!$G$3:$H$20,2,FALSE()),0))</f>
        <v/>
      </c>
      <c r="O203" s="32"/>
      <c r="P203" s="36" t="str">
        <f aca="true">IF(OR(N203="",O203="Closed",O203="Done - to verify"),"",N203-TODAY())</f>
        <v/>
      </c>
      <c r="Q203" s="37" t="str">
        <f aca="true">IF(C203="","",IF(O203="Closed","Closed",IF(O203="Done - to verify","To verify",IF(O203="On hold","On hold",IF(N203="","Set target",IF(N203&lt;TODAY(),"OVERDUE",IF(N203-TODAY()&lt;=7,"Due soon","On track")))))))</f>
        <v/>
      </c>
      <c r="R203" s="30"/>
      <c r="S203" s="34"/>
      <c r="T203" s="30"/>
      <c r="U203" s="30"/>
      <c r="V203" s="30"/>
      <c r="W203" s="34"/>
      <c r="X203" s="30"/>
    </row>
    <row r="204" customFormat="false" ht="15" hidden="false" customHeight="false" outlineLevel="0" collapsed="false">
      <c r="A204" s="30"/>
      <c r="B204" s="30"/>
      <c r="C204" s="30"/>
      <c r="D204" s="32"/>
      <c r="E204" s="30"/>
      <c r="F204" s="30"/>
      <c r="G204" s="30"/>
      <c r="H204" s="30"/>
      <c r="I204" s="32"/>
      <c r="J204" s="30"/>
      <c r="K204" s="30"/>
      <c r="L204" s="34"/>
      <c r="M204" s="32"/>
      <c r="N204" s="35" t="str">
        <f aca="false">IF(OR(L204="",M204=""),"",L204+IFERROR(VLOOKUP(M204,Lists!$G$3:$H$20,2,FALSE()),0))</f>
        <v/>
      </c>
      <c r="O204" s="32"/>
      <c r="P204" s="36" t="str">
        <f aca="true">IF(OR(N204="",O204="Closed",O204="Done - to verify"),"",N204-TODAY())</f>
        <v/>
      </c>
      <c r="Q204" s="37" t="str">
        <f aca="true">IF(C204="","",IF(O204="Closed","Closed",IF(O204="Done - to verify","To verify",IF(O204="On hold","On hold",IF(N204="","Set target",IF(N204&lt;TODAY(),"OVERDUE",IF(N204-TODAY()&lt;=7,"Due soon","On track")))))))</f>
        <v/>
      </c>
      <c r="R204" s="30"/>
      <c r="S204" s="34"/>
      <c r="T204" s="30"/>
      <c r="U204" s="30"/>
      <c r="V204" s="30"/>
      <c r="W204" s="34"/>
      <c r="X204" s="30"/>
    </row>
  </sheetData>
  <autoFilter ref="A4:X204"/>
  <mergeCells count="4">
    <mergeCell ref="A3:H3"/>
    <mergeCell ref="I3:N3"/>
    <mergeCell ref="O3:T3"/>
    <mergeCell ref="U3:X3"/>
  </mergeCells>
  <conditionalFormatting sqref="Q5:Q204">
    <cfRule type="cellIs" priority="2" operator="equal" aboveAverage="0" equalAverage="0" bottom="0" percent="0" rank="0" text="" dxfId="16">
      <formula>"OVERDUE"</formula>
    </cfRule>
    <cfRule type="cellIs" priority="3" operator="equal" aboveAverage="0" equalAverage="0" bottom="0" percent="0" rank="0" text="" dxfId="17">
      <formula>"Due soon"</formula>
    </cfRule>
    <cfRule type="cellIs" priority="4" operator="equal" aboveAverage="0" equalAverage="0" bottom="0" percent="0" rank="0" text="" dxfId="18">
      <formula>"On track"</formula>
    </cfRule>
    <cfRule type="cellIs" priority="5" operator="equal" aboveAverage="0" equalAverage="0" bottom="0" percent="0" rank="0" text="" dxfId="19">
      <formula>"To verify"</formula>
    </cfRule>
    <cfRule type="cellIs" priority="6" operator="equal" aboveAverage="0" equalAverage="0" bottom="0" percent="0" rank="0" text="" dxfId="20">
      <formula>"Set target"</formula>
    </cfRule>
    <cfRule type="cellIs" priority="7" operator="equal" aboveAverage="0" equalAverage="0" bottom="0" percent="0" rank="0" text="" dxfId="21">
      <formula>"Closed"</formula>
    </cfRule>
    <cfRule type="cellIs" priority="8" operator="equal" aboveAverage="0" equalAverage="0" bottom="0" percent="0" rank="0" text="" dxfId="21">
      <formula>"On hold"</formula>
    </cfRule>
  </conditionalFormatting>
  <conditionalFormatting sqref="O5:O204">
    <cfRule type="cellIs" priority="9" operator="equal" aboveAverage="0" equalAverage="0" bottom="0" percent="0" rank="0" text="" dxfId="22">
      <formula>"Open"</formula>
    </cfRule>
    <cfRule type="cellIs" priority="10" operator="equal" aboveAverage="0" equalAverage="0" bottom="0" percent="0" rank="0" text="" dxfId="23">
      <formula>"In progress"</formula>
    </cfRule>
    <cfRule type="cellIs" priority="11" operator="equal" aboveAverage="0" equalAverage="0" bottom="0" percent="0" rank="0" text="" dxfId="19">
      <formula>"Done - to verify"</formula>
    </cfRule>
    <cfRule type="cellIs" priority="12" operator="equal" aboveAverage="0" equalAverage="0" bottom="0" percent="0" rank="0" text="" dxfId="18">
      <formula>"Closed"</formula>
    </cfRule>
  </conditionalFormatting>
  <conditionalFormatting sqref="I5:I204">
    <cfRule type="cellIs" priority="13" operator="equal" aboveAverage="0" equalAverage="0" bottom="0" percent="0" rank="0" text="" dxfId="22">
      <formula>"High"</formula>
    </cfRule>
    <cfRule type="cellIs" priority="14" operator="equal" aboveAverage="0" equalAverage="0" bottom="0" percent="0" rank="0" text="" dxfId="23">
      <formula>"Medium"</formula>
    </cfRule>
    <cfRule type="cellIs" priority="15" operator="equal" aboveAverage="0" equalAverage="0" bottom="0" percent="0" rank="0" text="" dxfId="24">
      <formula>"Low"</formula>
    </cfRule>
  </conditionalFormatting>
  <conditionalFormatting sqref="A5:X204">
    <cfRule type="expression" priority="16" aboveAverage="0" equalAverage="0" bottom="0" percent="0" rank="0" text="" dxfId="25">
      <formula>$O5="Closed"</formula>
    </cfRule>
  </conditionalFormatting>
  <dataValidations count="7">
    <dataValidation allowBlank="true" error="Not in the list. Click Yes to keep it anyway, or add it to the Lists sheet." errorStyle="warning" operator="between" showDropDown="false" showErrorMessage="true" showInputMessage="false" sqref="B5:B204" type="list">
      <formula1>Lists!$A$3:$A$12</formula1>
      <formula2>0</formula2>
    </dataValidation>
    <dataValidation allowBlank="true" error="Not in the list. Click Yes to keep it anyway, or add it to the Lists sheet." errorStyle="warning" operator="between" showDropDown="false" showErrorMessage="true" showInputMessage="false" sqref="E5:E204" type="list">
      <formula1>Lists!$C$3:$C$14</formula1>
      <formula2>0</formula2>
    </dataValidation>
    <dataValidation allowBlank="true" errorStyle="stop" operator="between" showDropDown="false" showErrorMessage="true" showInputMessage="false" sqref="I5:I204" type="list">
      <formula1>Lists!$D$3:$D$5</formula1>
      <formula2>0</formula2>
    </dataValidation>
    <dataValidation allowBlank="true" error="Not in the list. Click Yes to keep it anyway, or add it to the Lists sheet." errorStyle="warning" operator="between" showDropDown="false" showErrorMessage="true" showInputMessage="false" sqref="K5:K204" type="list">
      <formula1>Lists!$F$3:$F$14</formula1>
      <formula2>0</formula2>
    </dataValidation>
    <dataValidation allowBlank="true" errorStyle="stop" operator="between" showDropDown="false" showErrorMessage="true" showInputMessage="false" sqref="M5:M204" type="list">
      <formula1>Lists!$G$3:$G$7</formula1>
      <formula2>0</formula2>
    </dataValidation>
    <dataValidation allowBlank="true" errorStyle="stop" operator="between" showDropDown="false" showErrorMessage="true" showInputMessage="false" sqref="O5:O204" type="list">
      <formula1>Lists!$E$3:$E$7</formula1>
      <formula2>0</formula2>
    </dataValidation>
    <dataValidation allowBlank="true" error="Please type a date, e.g. 30/09/2026" errorStyle="stop" operator="greaterThan" showDropDown="false" showErrorMessage="true" showInputMessage="false" sqref="L5:L204 S5:S204 W5:W2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5"/>
  </cols>
  <sheetData>
    <row r="1" customFormat="false" ht="19.7" hidden="false" customHeight="false" outlineLevel="0" collapsed="false">
      <c r="A1" s="20" t="s">
        <v>146</v>
      </c>
    </row>
    <row r="2" customFormat="false" ht="15" hidden="false" customHeight="false" outlineLevel="0" collapsed="false">
      <c r="A2" s="21" t="s">
        <v>147</v>
      </c>
    </row>
    <row r="3" customFormat="false" ht="15" hidden="false" customHeight="false" outlineLevel="0" collapsed="false">
      <c r="A3" s="38" t="s">
        <v>148</v>
      </c>
      <c r="B3" s="39" t="n">
        <f aca="true">TODAY()</f>
        <v>46294</v>
      </c>
    </row>
    <row r="5" customFormat="false" ht="21.75" hidden="false" customHeight="true" outlineLevel="0" collapsed="false">
      <c r="A5" s="40" t="s">
        <v>149</v>
      </c>
      <c r="B5" s="41" t="s">
        <v>23</v>
      </c>
      <c r="C5" s="42" t="s">
        <v>25</v>
      </c>
      <c r="D5" s="43" t="s">
        <v>150</v>
      </c>
      <c r="E5" s="44" t="s">
        <v>29</v>
      </c>
      <c r="F5" s="45" t="s">
        <v>34</v>
      </c>
      <c r="G5" s="42" t="s">
        <v>151</v>
      </c>
      <c r="H5" s="44" t="s">
        <v>152</v>
      </c>
    </row>
    <row r="6" customFormat="false" ht="39.75" hidden="false" customHeight="true" outlineLevel="0" collapsed="false">
      <c r="A6" s="46" t="n">
        <f aca="false">COUNTA(Tracker!$C$5:$C$304)</f>
        <v>8</v>
      </c>
      <c r="B6" s="47" t="n">
        <f aca="false">COUNTIF(Tracker!$O$5:$O$304,"Open")</f>
        <v>8</v>
      </c>
      <c r="C6" s="48" t="n">
        <f aca="false">COUNTIF(Tracker!$O$5:$O$304,"In progress")</f>
        <v>0</v>
      </c>
      <c r="D6" s="49" t="n">
        <f aca="false">COUNTIF(Tracker!$O$5:$O$304,"Done - to verify")</f>
        <v>0</v>
      </c>
      <c r="E6" s="50" t="n">
        <f aca="false">COUNTIF(Tracker!$O$5:$O$304,"Closed")</f>
        <v>0</v>
      </c>
      <c r="F6" s="51" t="n">
        <f aca="false">COUNTIF(Tracker!$Q$5:$Q$304,"OVERDUE")</f>
        <v>0</v>
      </c>
      <c r="G6" s="48" t="n">
        <f aca="false">COUNTIF(Tracker!$Q$5:$Q$304,"Due soon")</f>
        <v>0</v>
      </c>
      <c r="H6" s="52" t="n">
        <f aca="false">IF(A6=0,0,E6/A6)</f>
        <v>0</v>
      </c>
    </row>
    <row r="9" customFormat="false" ht="15" hidden="false" customHeight="false" outlineLevel="0" collapsed="false">
      <c r="A9" s="53" t="s">
        <v>153</v>
      </c>
    </row>
    <row r="10" customFormat="false" ht="15" hidden="false" customHeight="false" outlineLevel="0" collapsed="false">
      <c r="A10" s="40" t="s">
        <v>52</v>
      </c>
      <c r="B10" s="40" t="s">
        <v>154</v>
      </c>
      <c r="C10" s="40" t="s">
        <v>23</v>
      </c>
      <c r="D10" s="40" t="s">
        <v>25</v>
      </c>
      <c r="E10" s="40" t="s">
        <v>150</v>
      </c>
      <c r="F10" s="40" t="s">
        <v>29</v>
      </c>
      <c r="G10" s="40" t="s">
        <v>34</v>
      </c>
      <c r="H10" s="40" t="s">
        <v>152</v>
      </c>
    </row>
    <row r="11" customFormat="false" ht="15" hidden="false" customHeight="false" outlineLevel="0" collapsed="false">
      <c r="A11" s="54" t="str">
        <f aca="false">IF(Lists!$A$3="","",Lists!$A$3)</f>
        <v>Greenlane</v>
      </c>
      <c r="B11" s="55" t="n">
        <f aca="false">IF(A11="","",COUNTIF(Tracker!$B$5:$B$304,A11))</f>
        <v>1</v>
      </c>
      <c r="C11" s="55" t="n">
        <f aca="false">IF(A11="","",COUNTIFS(Tracker!$B$5:$B$304,A11,Tracker!$O$5:$O$304,"Open"))</f>
        <v>1</v>
      </c>
      <c r="D11" s="55" t="n">
        <f aca="false">IF(A11="","",COUNTIFS(Tracker!$B$5:$B$304,A11,Tracker!$O$5:$O$304,"In progress"))</f>
        <v>0</v>
      </c>
      <c r="E11" s="55" t="n">
        <f aca="false">IF(A11="","",COUNTIFS(Tracker!$B$5:$B$304,A11,Tracker!$O$5:$O$304,"Done - to verify"))</f>
        <v>0</v>
      </c>
      <c r="F11" s="55" t="n">
        <f aca="false">IF(A11="","",COUNTIFS(Tracker!$B$5:$B$304,A11,Tracker!$O$5:$O$304,"Closed"))</f>
        <v>0</v>
      </c>
      <c r="G11" s="55" t="n">
        <f aca="false">IF(A11="","",COUNTIFS(Tracker!$B$5:$B$304,A11,Tracker!$Q$5:$Q$304,"OVERDUE"))</f>
        <v>0</v>
      </c>
      <c r="H11" s="56" t="n">
        <f aca="false">IF(OR(A11="",B11=0),"",F11/B11)</f>
        <v>0</v>
      </c>
    </row>
    <row r="12" customFormat="false" ht="15" hidden="false" customHeight="false" outlineLevel="0" collapsed="false">
      <c r="A12" s="54" t="str">
        <f aca="false">IF(Lists!$A$4="","",Lists!$A$4)</f>
        <v>Puchong</v>
      </c>
      <c r="B12" s="55" t="n">
        <f aca="false">IF(A12="","",COUNTIF(Tracker!$B$5:$B$304,A12))</f>
        <v>0</v>
      </c>
      <c r="C12" s="55" t="n">
        <f aca="false">IF(A12="","",COUNTIFS(Tracker!$B$5:$B$304,A12,Tracker!$O$5:$O$304,"Open"))</f>
        <v>0</v>
      </c>
      <c r="D12" s="55" t="n">
        <f aca="false">IF(A12="","",COUNTIFS(Tracker!$B$5:$B$304,A12,Tracker!$O$5:$O$304,"In progress"))</f>
        <v>0</v>
      </c>
      <c r="E12" s="55" t="n">
        <f aca="false">IF(A12="","",COUNTIFS(Tracker!$B$5:$B$304,A12,Tracker!$O$5:$O$304,"Done - to verify"))</f>
        <v>0</v>
      </c>
      <c r="F12" s="55" t="n">
        <f aca="false">IF(A12="","",COUNTIFS(Tracker!$B$5:$B$304,A12,Tracker!$O$5:$O$304,"Closed"))</f>
        <v>0</v>
      </c>
      <c r="G12" s="55" t="n">
        <f aca="false">IF(A12="","",COUNTIFS(Tracker!$B$5:$B$304,A12,Tracker!$Q$5:$Q$304,"OVERDUE"))</f>
        <v>0</v>
      </c>
      <c r="H12" s="56" t="str">
        <f aca="false">IF(OR(A12="",B12=0),"",F12/B12)</f>
        <v/>
      </c>
    </row>
    <row r="13" customFormat="false" ht="15" hidden="false" customHeight="false" outlineLevel="0" collapsed="false">
      <c r="A13" s="54" t="str">
        <f aca="false">IF(Lists!$A$5="","",Lists!$A$5)</f>
        <v>Cheras Leisure Mall</v>
      </c>
      <c r="B13" s="55" t="n">
        <f aca="false">IF(A13="","",COUNTIF(Tracker!$B$5:$B$304,A13))</f>
        <v>7</v>
      </c>
      <c r="C13" s="55" t="n">
        <f aca="false">IF(A13="","",COUNTIFS(Tracker!$B$5:$B$304,A13,Tracker!$O$5:$O$304,"Open"))</f>
        <v>7</v>
      </c>
      <c r="D13" s="55" t="n">
        <f aca="false">IF(A13="","",COUNTIFS(Tracker!$B$5:$B$304,A13,Tracker!$O$5:$O$304,"In progress"))</f>
        <v>0</v>
      </c>
      <c r="E13" s="55" t="n">
        <f aca="false">IF(A13="","",COUNTIFS(Tracker!$B$5:$B$304,A13,Tracker!$O$5:$O$304,"Done - to verify"))</f>
        <v>0</v>
      </c>
      <c r="F13" s="55" t="n">
        <f aca="false">IF(A13="","",COUNTIFS(Tracker!$B$5:$B$304,A13,Tracker!$O$5:$O$304,"Closed"))</f>
        <v>0</v>
      </c>
      <c r="G13" s="55" t="n">
        <f aca="false">IF(A13="","",COUNTIFS(Tracker!$B$5:$B$304,A13,Tracker!$Q$5:$Q$304,"OVERDUE"))</f>
        <v>0</v>
      </c>
      <c r="H13" s="56" t="n">
        <f aca="false">IF(OR(A13="",B13=0),"",F13/B13)</f>
        <v>0</v>
      </c>
    </row>
    <row r="14" customFormat="false" ht="15" hidden="false" customHeight="false" outlineLevel="0" collapsed="false">
      <c r="A14" s="54" t="str">
        <f aca="false">IF(Lists!$A$6="","",Lists!$A$6)</f>
        <v/>
      </c>
      <c r="B14" s="55" t="str">
        <f aca="false">IF(A14="","",COUNTIF(Tracker!$B$5:$B$304,A14))</f>
        <v/>
      </c>
      <c r="C14" s="55" t="str">
        <f aca="false">IF(A14="","",COUNTIFS(Tracker!$B$5:$B$304,A14,Tracker!$O$5:$O$304,"Open"))</f>
        <v/>
      </c>
      <c r="D14" s="55" t="str">
        <f aca="false">IF(A14="","",COUNTIFS(Tracker!$B$5:$B$304,A14,Tracker!$O$5:$O$304,"In progress"))</f>
        <v/>
      </c>
      <c r="E14" s="55" t="str">
        <f aca="false">IF(A14="","",COUNTIFS(Tracker!$B$5:$B$304,A14,Tracker!$O$5:$O$304,"Done - to verify"))</f>
        <v/>
      </c>
      <c r="F14" s="55" t="str">
        <f aca="false">IF(A14="","",COUNTIFS(Tracker!$B$5:$B$304,A14,Tracker!$O$5:$O$304,"Closed"))</f>
        <v/>
      </c>
      <c r="G14" s="57" t="str">
        <f aca="false">IF(A14="","",COUNTIFS(Tracker!$B$5:$B$304,A14,Tracker!$Q$5:$Q$304,"OVERDUE"))</f>
        <v/>
      </c>
      <c r="H14" s="56" t="str">
        <f aca="false">IF(OR(A14="",B14=0),"",F14/B14)</f>
        <v/>
      </c>
    </row>
    <row r="15" customFormat="false" ht="15" hidden="false" customHeight="false" outlineLevel="0" collapsed="false">
      <c r="A15" s="54" t="str">
        <f aca="false">IF(Lists!$A$7="","",Lists!$A$7)</f>
        <v/>
      </c>
      <c r="B15" s="55" t="str">
        <f aca="false">IF(A15="","",COUNTIF(Tracker!$B$5:$B$304,A15))</f>
        <v/>
      </c>
      <c r="C15" s="55" t="str">
        <f aca="false">IF(A15="","",COUNTIFS(Tracker!$B$5:$B$304,A15,Tracker!$O$5:$O$304,"Open"))</f>
        <v/>
      </c>
      <c r="D15" s="55" t="str">
        <f aca="false">IF(A15="","",COUNTIFS(Tracker!$B$5:$B$304,A15,Tracker!$O$5:$O$304,"In progress"))</f>
        <v/>
      </c>
      <c r="E15" s="55" t="str">
        <f aca="false">IF(A15="","",COUNTIFS(Tracker!$B$5:$B$304,A15,Tracker!$O$5:$O$304,"Done - to verify"))</f>
        <v/>
      </c>
      <c r="F15" s="55" t="str">
        <f aca="false">IF(A15="","",COUNTIFS(Tracker!$B$5:$B$304,A15,Tracker!$O$5:$O$304,"Closed"))</f>
        <v/>
      </c>
      <c r="G15" s="57" t="str">
        <f aca="false">IF(A15="","",COUNTIFS(Tracker!$B$5:$B$304,A15,Tracker!$Q$5:$Q$304,"OVERDUE"))</f>
        <v/>
      </c>
      <c r="H15" s="56" t="str">
        <f aca="false">IF(OR(A15="",B15=0),"",F15/B15)</f>
        <v/>
      </c>
    </row>
    <row r="16" customFormat="false" ht="15" hidden="false" customHeight="false" outlineLevel="0" collapsed="false">
      <c r="A16" s="54" t="str">
        <f aca="false">IF(Lists!$A$8="","",Lists!$A$8)</f>
        <v/>
      </c>
      <c r="B16" s="55" t="str">
        <f aca="false">IF(A16="","",COUNTIF(Tracker!$B$5:$B$304,A16))</f>
        <v/>
      </c>
      <c r="C16" s="55" t="str">
        <f aca="false">IF(A16="","",COUNTIFS(Tracker!$B$5:$B$304,A16,Tracker!$O$5:$O$304,"Open"))</f>
        <v/>
      </c>
      <c r="D16" s="55" t="str">
        <f aca="false">IF(A16="","",COUNTIFS(Tracker!$B$5:$B$304,A16,Tracker!$O$5:$O$304,"In progress"))</f>
        <v/>
      </c>
      <c r="E16" s="55" t="str">
        <f aca="false">IF(A16="","",COUNTIFS(Tracker!$B$5:$B$304,A16,Tracker!$O$5:$O$304,"Done - to verify"))</f>
        <v/>
      </c>
      <c r="F16" s="55" t="str">
        <f aca="false">IF(A16="","",COUNTIFS(Tracker!$B$5:$B$304,A16,Tracker!$O$5:$O$304,"Closed"))</f>
        <v/>
      </c>
      <c r="G16" s="57" t="str">
        <f aca="false">IF(A16="","",COUNTIFS(Tracker!$B$5:$B$304,A16,Tracker!$Q$5:$Q$304,"OVERDUE"))</f>
        <v/>
      </c>
      <c r="H16" s="56" t="str">
        <f aca="false">IF(OR(A16="",B16=0),"",F16/B16)</f>
        <v/>
      </c>
    </row>
    <row r="17" customFormat="false" ht="15" hidden="false" customHeight="false" outlineLevel="0" collapsed="false">
      <c r="A17" s="54" t="str">
        <f aca="false">IF(Lists!$A$9="","",Lists!$A$9)</f>
        <v/>
      </c>
      <c r="B17" s="55" t="str">
        <f aca="false">IF(A17="","",COUNTIF(Tracker!$B$5:$B$304,A17))</f>
        <v/>
      </c>
      <c r="C17" s="55" t="str">
        <f aca="false">IF(A17="","",COUNTIFS(Tracker!$B$5:$B$304,A17,Tracker!$O$5:$O$304,"Open"))</f>
        <v/>
      </c>
      <c r="D17" s="55" t="str">
        <f aca="false">IF(A17="","",COUNTIFS(Tracker!$B$5:$B$304,A17,Tracker!$O$5:$O$304,"In progress"))</f>
        <v/>
      </c>
      <c r="E17" s="55" t="str">
        <f aca="false">IF(A17="","",COUNTIFS(Tracker!$B$5:$B$304,A17,Tracker!$O$5:$O$304,"Done - to verify"))</f>
        <v/>
      </c>
      <c r="F17" s="55" t="str">
        <f aca="false">IF(A17="","",COUNTIFS(Tracker!$B$5:$B$304,A17,Tracker!$O$5:$O$304,"Closed"))</f>
        <v/>
      </c>
      <c r="G17" s="57" t="str">
        <f aca="false">IF(A17="","",COUNTIFS(Tracker!$B$5:$B$304,A17,Tracker!$Q$5:$Q$304,"OVERDUE"))</f>
        <v/>
      </c>
      <c r="H17" s="56" t="str">
        <f aca="false">IF(OR(A17="",B17=0),"",F17/B17)</f>
        <v/>
      </c>
    </row>
    <row r="18" customFormat="false" ht="15" hidden="false" customHeight="false" outlineLevel="0" collapsed="false">
      <c r="A18" s="54" t="str">
        <f aca="false">IF(Lists!$A$10="","",Lists!$A$10)</f>
        <v/>
      </c>
      <c r="B18" s="55" t="str">
        <f aca="false">IF(A18="","",COUNTIF(Tracker!$B$5:$B$304,A18))</f>
        <v/>
      </c>
      <c r="C18" s="55" t="str">
        <f aca="false">IF(A18="","",COUNTIFS(Tracker!$B$5:$B$304,A18,Tracker!$O$5:$O$304,"Open"))</f>
        <v/>
      </c>
      <c r="D18" s="55" t="str">
        <f aca="false">IF(A18="","",COUNTIFS(Tracker!$B$5:$B$304,A18,Tracker!$O$5:$O$304,"In progress"))</f>
        <v/>
      </c>
      <c r="E18" s="55" t="str">
        <f aca="false">IF(A18="","",COUNTIFS(Tracker!$B$5:$B$304,A18,Tracker!$O$5:$O$304,"Done - to verify"))</f>
        <v/>
      </c>
      <c r="F18" s="55" t="str">
        <f aca="false">IF(A18="","",COUNTIFS(Tracker!$B$5:$B$304,A18,Tracker!$O$5:$O$304,"Closed"))</f>
        <v/>
      </c>
      <c r="G18" s="57" t="str">
        <f aca="false">IF(A18="","",COUNTIFS(Tracker!$B$5:$B$304,A18,Tracker!$Q$5:$Q$304,"OVERDUE"))</f>
        <v/>
      </c>
      <c r="H18" s="56" t="str">
        <f aca="false">IF(OR(A18="",B18=0),"",F18/B18)</f>
        <v/>
      </c>
    </row>
    <row r="19" customFormat="false" ht="15" hidden="false" customHeight="false" outlineLevel="0" collapsed="false">
      <c r="A19" s="54" t="str">
        <f aca="false">IF(Lists!$A$11="","",Lists!$A$11)</f>
        <v/>
      </c>
      <c r="B19" s="55" t="str">
        <f aca="false">IF(A19="","",COUNTIF(Tracker!$B$5:$B$304,A19))</f>
        <v/>
      </c>
      <c r="C19" s="55" t="str">
        <f aca="false">IF(A19="","",COUNTIFS(Tracker!$B$5:$B$304,A19,Tracker!$O$5:$O$304,"Open"))</f>
        <v/>
      </c>
      <c r="D19" s="55" t="str">
        <f aca="false">IF(A19="","",COUNTIFS(Tracker!$B$5:$B$304,A19,Tracker!$O$5:$O$304,"In progress"))</f>
        <v/>
      </c>
      <c r="E19" s="55" t="str">
        <f aca="false">IF(A19="","",COUNTIFS(Tracker!$B$5:$B$304,A19,Tracker!$O$5:$O$304,"Done - to verify"))</f>
        <v/>
      </c>
      <c r="F19" s="55" t="str">
        <f aca="false">IF(A19="","",COUNTIFS(Tracker!$B$5:$B$304,A19,Tracker!$O$5:$O$304,"Closed"))</f>
        <v/>
      </c>
      <c r="G19" s="57" t="str">
        <f aca="false">IF(A19="","",COUNTIFS(Tracker!$B$5:$B$304,A19,Tracker!$Q$5:$Q$304,"OVERDUE"))</f>
        <v/>
      </c>
      <c r="H19" s="56" t="str">
        <f aca="false">IF(OR(A19="",B19=0),"",F19/B19)</f>
        <v/>
      </c>
    </row>
    <row r="20" customFormat="false" ht="15" hidden="false" customHeight="false" outlineLevel="0" collapsed="false">
      <c r="A20" s="54" t="str">
        <f aca="false">IF(Lists!$A$12="","",Lists!$A$12)</f>
        <v/>
      </c>
      <c r="B20" s="55" t="str">
        <f aca="false">IF(A20="","",COUNTIF(Tracker!$B$5:$B$304,A20))</f>
        <v/>
      </c>
      <c r="C20" s="55" t="str">
        <f aca="false">IF(A20="","",COUNTIFS(Tracker!$B$5:$B$304,A20,Tracker!$O$5:$O$304,"Open"))</f>
        <v/>
      </c>
      <c r="D20" s="55" t="str">
        <f aca="false">IF(A20="","",COUNTIFS(Tracker!$B$5:$B$304,A20,Tracker!$O$5:$O$304,"In progress"))</f>
        <v/>
      </c>
      <c r="E20" s="55" t="str">
        <f aca="false">IF(A20="","",COUNTIFS(Tracker!$B$5:$B$304,A20,Tracker!$O$5:$O$304,"Done - to verify"))</f>
        <v/>
      </c>
      <c r="F20" s="55" t="str">
        <f aca="false">IF(A20="","",COUNTIFS(Tracker!$B$5:$B$304,A20,Tracker!$O$5:$O$304,"Closed"))</f>
        <v/>
      </c>
      <c r="G20" s="57" t="str">
        <f aca="false">IF(A20="","",COUNTIFS(Tracker!$B$5:$B$304,A20,Tracker!$Q$5:$Q$304,"OVERDUE"))</f>
        <v/>
      </c>
      <c r="H20" s="56" t="str">
        <f aca="false">IF(OR(A20="",B20=0),"",F20/B20)</f>
        <v/>
      </c>
    </row>
    <row r="22" customFormat="false" ht="15" hidden="false" customHeight="false" outlineLevel="0" collapsed="false">
      <c r="A22" s="53" t="s">
        <v>155</v>
      </c>
    </row>
    <row r="23" customFormat="false" ht="15" hidden="false" customHeight="false" outlineLevel="0" collapsed="false">
      <c r="A23" s="40" t="s">
        <v>56</v>
      </c>
      <c r="B23" s="40" t="s">
        <v>154</v>
      </c>
      <c r="C23" s="40" t="s">
        <v>23</v>
      </c>
      <c r="D23" s="40" t="s">
        <v>25</v>
      </c>
      <c r="E23" s="40" t="s">
        <v>150</v>
      </c>
      <c r="F23" s="40" t="s">
        <v>29</v>
      </c>
      <c r="G23" s="40" t="s">
        <v>34</v>
      </c>
      <c r="H23" s="40" t="s">
        <v>152</v>
      </c>
    </row>
    <row r="24" customFormat="false" ht="15" hidden="false" customHeight="false" outlineLevel="0" collapsed="false">
      <c r="A24" s="54" t="str">
        <f aca="false">IF(Lists!$D$3="","",Lists!$D$3)</f>
        <v>High</v>
      </c>
      <c r="B24" s="55" t="n">
        <f aca="false">IF(A24="","",COUNTIF(Tracker!$I$5:$I$304,A24))</f>
        <v>4</v>
      </c>
      <c r="C24" s="55" t="n">
        <f aca="false">IF(A24="","",COUNTIFS(Tracker!$I$5:$I$304,A24,Tracker!$O$5:$O$304,"Open"))</f>
        <v>4</v>
      </c>
      <c r="D24" s="55" t="n">
        <f aca="false">IF(A24="","",COUNTIFS(Tracker!$I$5:$I$304,A24,Tracker!$O$5:$O$304,"In progress"))</f>
        <v>0</v>
      </c>
      <c r="E24" s="55" t="n">
        <f aca="false">IF(A24="","",COUNTIFS(Tracker!$I$5:$I$304,A24,Tracker!$O$5:$O$304,"Done - to verify"))</f>
        <v>0</v>
      </c>
      <c r="F24" s="55" t="n">
        <f aca="false">IF(A24="","",COUNTIFS(Tracker!$I$5:$I$304,A24,Tracker!$O$5:$O$304,"Closed"))</f>
        <v>0</v>
      </c>
      <c r="G24" s="55" t="n">
        <f aca="false">IF(A24="","",COUNTIFS(Tracker!$I$5:$I$304,A24,Tracker!$Q$5:$Q$304,"OVERDUE"))</f>
        <v>0</v>
      </c>
      <c r="H24" s="56" t="n">
        <f aca="false">IF(OR(A24="",B24=0),"",F24/B24)</f>
        <v>0</v>
      </c>
    </row>
    <row r="25" customFormat="false" ht="15" hidden="false" customHeight="false" outlineLevel="0" collapsed="false">
      <c r="A25" s="54" t="str">
        <f aca="false">IF(Lists!$D$4="","",Lists!$D$4)</f>
        <v>Medium</v>
      </c>
      <c r="B25" s="55" t="n">
        <f aca="false">IF(A25="","",COUNTIF(Tracker!$I$5:$I$304,A25))</f>
        <v>2</v>
      </c>
      <c r="C25" s="55" t="n">
        <f aca="false">IF(A25="","",COUNTIFS(Tracker!$I$5:$I$304,A25,Tracker!$O$5:$O$304,"Open"))</f>
        <v>2</v>
      </c>
      <c r="D25" s="55" t="n">
        <f aca="false">IF(A25="","",COUNTIFS(Tracker!$I$5:$I$304,A25,Tracker!$O$5:$O$304,"In progress"))</f>
        <v>0</v>
      </c>
      <c r="E25" s="55" t="n">
        <f aca="false">IF(A25="","",COUNTIFS(Tracker!$I$5:$I$304,A25,Tracker!$O$5:$O$304,"Done - to verify"))</f>
        <v>0</v>
      </c>
      <c r="F25" s="55" t="n">
        <f aca="false">IF(A25="","",COUNTIFS(Tracker!$I$5:$I$304,A25,Tracker!$O$5:$O$304,"Closed"))</f>
        <v>0</v>
      </c>
      <c r="G25" s="55" t="n">
        <f aca="false">IF(A25="","",COUNTIFS(Tracker!$I$5:$I$304,A25,Tracker!$Q$5:$Q$304,"OVERDUE"))</f>
        <v>0</v>
      </c>
      <c r="H25" s="56" t="n">
        <f aca="false">IF(OR(A25="",B25=0),"",F25/B25)</f>
        <v>0</v>
      </c>
    </row>
    <row r="26" customFormat="false" ht="15" hidden="false" customHeight="false" outlineLevel="0" collapsed="false">
      <c r="A26" s="54" t="str">
        <f aca="false">IF(Lists!$D$5="","",Lists!$D$5)</f>
        <v>Low</v>
      </c>
      <c r="B26" s="55" t="n">
        <f aca="false">IF(A26="","",COUNTIF(Tracker!$I$5:$I$304,A26))</f>
        <v>2</v>
      </c>
      <c r="C26" s="55" t="n">
        <f aca="false">IF(A26="","",COUNTIFS(Tracker!$I$5:$I$304,A26,Tracker!$O$5:$O$304,"Open"))</f>
        <v>2</v>
      </c>
      <c r="D26" s="55" t="n">
        <f aca="false">IF(A26="","",COUNTIFS(Tracker!$I$5:$I$304,A26,Tracker!$O$5:$O$304,"In progress"))</f>
        <v>0</v>
      </c>
      <c r="E26" s="55" t="n">
        <f aca="false">IF(A26="","",COUNTIFS(Tracker!$I$5:$I$304,A26,Tracker!$O$5:$O$304,"Done - to verify"))</f>
        <v>0</v>
      </c>
      <c r="F26" s="55" t="n">
        <f aca="false">IF(A26="","",COUNTIFS(Tracker!$I$5:$I$304,A26,Tracker!$O$5:$O$304,"Closed"))</f>
        <v>0</v>
      </c>
      <c r="G26" s="55" t="n">
        <f aca="false">IF(A26="","",COUNTIFS(Tracker!$I$5:$I$304,A26,Tracker!$Q$5:$Q$304,"OVERDUE"))</f>
        <v>0</v>
      </c>
      <c r="H26" s="56" t="n">
        <f aca="false">IF(OR(A26="",B26=0),"",F26/B26)</f>
        <v>0</v>
      </c>
    </row>
    <row r="28" customFormat="false" ht="15" hidden="false" customHeight="false" outlineLevel="0" collapsed="false">
      <c r="A28" s="53" t="s">
        <v>156</v>
      </c>
    </row>
    <row r="29" customFormat="false" ht="15" hidden="false" customHeight="false" outlineLevel="0" collapsed="false">
      <c r="A29" s="40" t="s">
        <v>75</v>
      </c>
      <c r="B29" s="40" t="s">
        <v>154</v>
      </c>
      <c r="C29" s="40" t="s">
        <v>23</v>
      </c>
      <c r="D29" s="40" t="s">
        <v>25</v>
      </c>
      <c r="E29" s="40" t="s">
        <v>150</v>
      </c>
      <c r="F29" s="40" t="s">
        <v>29</v>
      </c>
      <c r="G29" s="40" t="s">
        <v>34</v>
      </c>
      <c r="H29" s="40" t="s">
        <v>152</v>
      </c>
    </row>
    <row r="30" customFormat="false" ht="15" hidden="false" customHeight="false" outlineLevel="0" collapsed="false">
      <c r="A30" s="54" t="str">
        <f aca="false">IF(Lists!$C$3="","",Lists!$C$3)</f>
        <v>Sales &amp; package</v>
      </c>
      <c r="B30" s="55" t="n">
        <f aca="false">IF(A30="","",COUNTIF(Tracker!$E$5:$E$304,A30))</f>
        <v>2</v>
      </c>
      <c r="C30" s="55" t="n">
        <f aca="false">IF(A30="","",COUNTIFS(Tracker!$E$5:$E$304,A30,Tracker!$O$5:$O$304,"Open"))</f>
        <v>2</v>
      </c>
      <c r="D30" s="55" t="n">
        <f aca="false">IF(A30="","",COUNTIFS(Tracker!$E$5:$E$304,A30,Tracker!$O$5:$O$304,"In progress"))</f>
        <v>0</v>
      </c>
      <c r="E30" s="55" t="n">
        <f aca="false">IF(A30="","",COUNTIFS(Tracker!$E$5:$E$304,A30,Tracker!$O$5:$O$304,"Done - to verify"))</f>
        <v>0</v>
      </c>
      <c r="F30" s="55" t="n">
        <f aca="false">IF(A30="","",COUNTIFS(Tracker!$E$5:$E$304,A30,Tracker!$O$5:$O$304,"Closed"))</f>
        <v>0</v>
      </c>
      <c r="G30" s="55" t="n">
        <f aca="false">IF(A30="","",COUNTIFS(Tracker!$E$5:$E$304,A30,Tracker!$Q$5:$Q$304,"OVERDUE"))</f>
        <v>0</v>
      </c>
      <c r="H30" s="56" t="n">
        <f aca="false">IF(OR(A30="",B30=0),"",F30/B30)</f>
        <v>0</v>
      </c>
    </row>
    <row r="31" customFormat="false" ht="15" hidden="false" customHeight="false" outlineLevel="0" collapsed="false">
      <c r="A31" s="54" t="str">
        <f aca="false">IF(Lists!$C$4="","",Lists!$C$4)</f>
        <v>Service attitude</v>
      </c>
      <c r="B31" s="55" t="n">
        <f aca="false">IF(A31="","",COUNTIF(Tracker!$E$5:$E$304,A31))</f>
        <v>1</v>
      </c>
      <c r="C31" s="55" t="n">
        <f aca="false">IF(A31="","",COUNTIFS(Tracker!$E$5:$E$304,A31,Tracker!$O$5:$O$304,"Open"))</f>
        <v>1</v>
      </c>
      <c r="D31" s="55" t="n">
        <f aca="false">IF(A31="","",COUNTIFS(Tracker!$E$5:$E$304,A31,Tracker!$O$5:$O$304,"In progress"))</f>
        <v>0</v>
      </c>
      <c r="E31" s="55" t="n">
        <f aca="false">IF(A31="","",COUNTIFS(Tracker!$E$5:$E$304,A31,Tracker!$O$5:$O$304,"Done - to verify"))</f>
        <v>0</v>
      </c>
      <c r="F31" s="55" t="n">
        <f aca="false">IF(A31="","",COUNTIFS(Tracker!$E$5:$E$304,A31,Tracker!$O$5:$O$304,"Closed"))</f>
        <v>0</v>
      </c>
      <c r="G31" s="55" t="n">
        <f aca="false">IF(A31="","",COUNTIFS(Tracker!$E$5:$E$304,A31,Tracker!$Q$5:$Q$304,"OVERDUE"))</f>
        <v>0</v>
      </c>
      <c r="H31" s="56" t="n">
        <f aca="false">IF(OR(A31="",B31=0),"",F31/B31)</f>
        <v>0</v>
      </c>
    </row>
    <row r="32" customFormat="false" ht="15" hidden="false" customHeight="false" outlineLevel="0" collapsed="false">
      <c r="A32" s="54" t="str">
        <f aca="false">IF(Lists!$C$5="","",Lists!$C$5)</f>
        <v>Communication</v>
      </c>
      <c r="B32" s="55" t="n">
        <f aca="false">IF(A32="","",COUNTIF(Tracker!$E$5:$E$304,A32))</f>
        <v>1</v>
      </c>
      <c r="C32" s="55" t="n">
        <f aca="false">IF(A32="","",COUNTIFS(Tracker!$E$5:$E$304,A32,Tracker!$O$5:$O$304,"Open"))</f>
        <v>1</v>
      </c>
      <c r="D32" s="55" t="n">
        <f aca="false">IF(A32="","",COUNTIFS(Tracker!$E$5:$E$304,A32,Tracker!$O$5:$O$304,"In progress"))</f>
        <v>0</v>
      </c>
      <c r="E32" s="55" t="n">
        <f aca="false">IF(A32="","",COUNTIFS(Tracker!$E$5:$E$304,A32,Tracker!$O$5:$O$304,"Done - to verify"))</f>
        <v>0</v>
      </c>
      <c r="F32" s="55" t="n">
        <f aca="false">IF(A32="","",COUNTIFS(Tracker!$E$5:$E$304,A32,Tracker!$O$5:$O$304,"Closed"))</f>
        <v>0</v>
      </c>
      <c r="G32" s="55" t="n">
        <f aca="false">IF(A32="","",COUNTIFS(Tracker!$E$5:$E$304,A32,Tracker!$Q$5:$Q$304,"OVERDUE"))</f>
        <v>0</v>
      </c>
      <c r="H32" s="56" t="n">
        <f aca="false">IF(OR(A32="",B32=0),"",F32/B32)</f>
        <v>0</v>
      </c>
    </row>
    <row r="33" customFormat="false" ht="15" hidden="false" customHeight="false" outlineLevel="0" collapsed="false">
      <c r="A33" s="54" t="str">
        <f aca="false">IF(Lists!$C$6="","",Lists!$C$6)</f>
        <v>Waiting &amp; process flow</v>
      </c>
      <c r="B33" s="55" t="n">
        <f aca="false">IF(A33="","",COUNTIF(Tracker!$E$5:$E$304,A33))</f>
        <v>1</v>
      </c>
      <c r="C33" s="55" t="n">
        <f aca="false">IF(A33="","",COUNTIFS(Tracker!$E$5:$E$304,A33,Tracker!$O$5:$O$304,"Open"))</f>
        <v>1</v>
      </c>
      <c r="D33" s="55" t="n">
        <f aca="false">IF(A33="","",COUNTIFS(Tracker!$E$5:$E$304,A33,Tracker!$O$5:$O$304,"In progress"))</f>
        <v>0</v>
      </c>
      <c r="E33" s="55" t="n">
        <f aca="false">IF(A33="","",COUNTIFS(Tracker!$E$5:$E$304,A33,Tracker!$O$5:$O$304,"Done - to verify"))</f>
        <v>0</v>
      </c>
      <c r="F33" s="55" t="n">
        <f aca="false">IF(A33="","",COUNTIFS(Tracker!$E$5:$E$304,A33,Tracker!$O$5:$O$304,"Closed"))</f>
        <v>0</v>
      </c>
      <c r="G33" s="55" t="n">
        <f aca="false">IF(A33="","",COUNTIFS(Tracker!$E$5:$E$304,A33,Tracker!$Q$5:$Q$304,"OVERDUE"))</f>
        <v>0</v>
      </c>
      <c r="H33" s="56" t="n">
        <f aca="false">IF(OR(A33="",B33=0),"",F33/B33)</f>
        <v>0</v>
      </c>
    </row>
    <row r="34" customFormat="false" ht="15" hidden="false" customHeight="false" outlineLevel="0" collapsed="false">
      <c r="A34" s="54" t="str">
        <f aca="false">IF(Lists!$C$7="","",Lists!$C$7)</f>
        <v>Treatment &amp; technique</v>
      </c>
      <c r="B34" s="55" t="n">
        <f aca="false">IF(A34="","",COUNTIF(Tracker!$E$5:$E$304,A34))</f>
        <v>1</v>
      </c>
      <c r="C34" s="55" t="n">
        <f aca="false">IF(A34="","",COUNTIFS(Tracker!$E$5:$E$304,A34,Tracker!$O$5:$O$304,"Open"))</f>
        <v>1</v>
      </c>
      <c r="D34" s="55" t="n">
        <f aca="false">IF(A34="","",COUNTIFS(Tracker!$E$5:$E$304,A34,Tracker!$O$5:$O$304,"In progress"))</f>
        <v>0</v>
      </c>
      <c r="E34" s="55" t="n">
        <f aca="false">IF(A34="","",COUNTIFS(Tracker!$E$5:$E$304,A34,Tracker!$O$5:$O$304,"Done - to verify"))</f>
        <v>0</v>
      </c>
      <c r="F34" s="55" t="n">
        <f aca="false">IF(A34="","",COUNTIFS(Tracker!$E$5:$E$304,A34,Tracker!$O$5:$O$304,"Closed"))</f>
        <v>0</v>
      </c>
      <c r="G34" s="55" t="n">
        <f aca="false">IF(A34="","",COUNTIFS(Tracker!$E$5:$E$304,A34,Tracker!$Q$5:$Q$304,"OVERDUE"))</f>
        <v>0</v>
      </c>
      <c r="H34" s="56" t="n">
        <f aca="false">IF(OR(A34="",B34=0),"",F34/B34)</f>
        <v>0</v>
      </c>
    </row>
    <row r="35" customFormat="false" ht="15" hidden="false" customHeight="false" outlineLevel="0" collapsed="false">
      <c r="A35" s="54" t="str">
        <f aca="false">IF(Lists!$C$8="","",Lists!$C$8)</f>
        <v>Appointment &amp; reminder</v>
      </c>
      <c r="B35" s="55" t="n">
        <f aca="false">IF(A35="","",COUNTIF(Tracker!$E$5:$E$304,A35))</f>
        <v>1</v>
      </c>
      <c r="C35" s="55" t="n">
        <f aca="false">IF(A35="","",COUNTIFS(Tracker!$E$5:$E$304,A35,Tracker!$O$5:$O$304,"Open"))</f>
        <v>1</v>
      </c>
      <c r="D35" s="55" t="n">
        <f aca="false">IF(A35="","",COUNTIFS(Tracker!$E$5:$E$304,A35,Tracker!$O$5:$O$304,"In progress"))</f>
        <v>0</v>
      </c>
      <c r="E35" s="55" t="n">
        <f aca="false">IF(A35="","",COUNTIFS(Tracker!$E$5:$E$304,A35,Tracker!$O$5:$O$304,"Done - to verify"))</f>
        <v>0</v>
      </c>
      <c r="F35" s="55" t="n">
        <f aca="false">IF(A35="","",COUNTIFS(Tracker!$E$5:$E$304,A35,Tracker!$O$5:$O$304,"Closed"))</f>
        <v>0</v>
      </c>
      <c r="G35" s="55" t="n">
        <f aca="false">IF(A35="","",COUNTIFS(Tracker!$E$5:$E$304,A35,Tracker!$Q$5:$Q$304,"OVERDUE"))</f>
        <v>0</v>
      </c>
      <c r="H35" s="56" t="n">
        <f aca="false">IF(OR(A35="",B35=0),"",F35/B35)</f>
        <v>0</v>
      </c>
    </row>
    <row r="36" customFormat="false" ht="15" hidden="false" customHeight="false" outlineLevel="0" collapsed="false">
      <c r="A36" s="54" t="str">
        <f aca="false">IF(Lists!$C$9="","",Lists!$C$9)</f>
        <v>Registration &amp; system</v>
      </c>
      <c r="B36" s="55" t="n">
        <f aca="false">IF(A36="","",COUNTIF(Tracker!$E$5:$E$304,A36))</f>
        <v>1</v>
      </c>
      <c r="C36" s="55" t="n">
        <f aca="false">IF(A36="","",COUNTIFS(Tracker!$E$5:$E$304,A36,Tracker!$O$5:$O$304,"Open"))</f>
        <v>1</v>
      </c>
      <c r="D36" s="55" t="n">
        <f aca="false">IF(A36="","",COUNTIFS(Tracker!$E$5:$E$304,A36,Tracker!$O$5:$O$304,"In progress"))</f>
        <v>0</v>
      </c>
      <c r="E36" s="55" t="n">
        <f aca="false">IF(A36="","",COUNTIFS(Tracker!$E$5:$E$304,A36,Tracker!$O$5:$O$304,"Done - to verify"))</f>
        <v>0</v>
      </c>
      <c r="F36" s="55" t="n">
        <f aca="false">IF(A36="","",COUNTIFS(Tracker!$E$5:$E$304,A36,Tracker!$O$5:$O$304,"Closed"))</f>
        <v>0</v>
      </c>
      <c r="G36" s="55" t="n">
        <f aca="false">IF(A36="","",COUNTIFS(Tracker!$E$5:$E$304,A36,Tracker!$Q$5:$Q$304,"OVERDUE"))</f>
        <v>0</v>
      </c>
      <c r="H36" s="56" t="n">
        <f aca="false">IF(OR(A36="",B36=0),"",F36/B36)</f>
        <v>0</v>
      </c>
    </row>
    <row r="37" customFormat="false" ht="15" hidden="false" customHeight="false" outlineLevel="0" collapsed="false">
      <c r="A37" s="54" t="str">
        <f aca="false">IF(Lists!$C$10="","",Lists!$C$10)</f>
        <v>Environment &amp; facilities</v>
      </c>
      <c r="B37" s="55" t="n">
        <f aca="false">IF(A37="","",COUNTIF(Tracker!$E$5:$E$304,A37))</f>
        <v>0</v>
      </c>
      <c r="C37" s="55" t="n">
        <f aca="false">IF(A37="","",COUNTIFS(Tracker!$E$5:$E$304,A37,Tracker!$O$5:$O$304,"Open"))</f>
        <v>0</v>
      </c>
      <c r="D37" s="55" t="n">
        <f aca="false">IF(A37="","",COUNTIFS(Tracker!$E$5:$E$304,A37,Tracker!$O$5:$O$304,"In progress"))</f>
        <v>0</v>
      </c>
      <c r="E37" s="55" t="n">
        <f aca="false">IF(A37="","",COUNTIFS(Tracker!$E$5:$E$304,A37,Tracker!$O$5:$O$304,"Done - to verify"))</f>
        <v>0</v>
      </c>
      <c r="F37" s="55" t="n">
        <f aca="false">IF(A37="","",COUNTIFS(Tracker!$E$5:$E$304,A37,Tracker!$O$5:$O$304,"Closed"))</f>
        <v>0</v>
      </c>
      <c r="G37" s="55" t="n">
        <f aca="false">IF(A37="","",COUNTIFS(Tracker!$E$5:$E$304,A37,Tracker!$Q$5:$Q$304,"OVERDUE"))</f>
        <v>0</v>
      </c>
      <c r="H37" s="56" t="str">
        <f aca="false">IF(OR(A37="",B37=0),"",F37/B37)</f>
        <v/>
      </c>
    </row>
    <row r="38" customFormat="false" ht="15" hidden="false" customHeight="false" outlineLevel="0" collapsed="false">
      <c r="A38" s="54" t="str">
        <f aca="false">IF(Lists!$C$11="","",Lists!$C$11)</f>
        <v>Others</v>
      </c>
      <c r="B38" s="55" t="n">
        <f aca="false">IF(A38="","",COUNTIF(Tracker!$E$5:$E$304,A38))</f>
        <v>0</v>
      </c>
      <c r="C38" s="55" t="n">
        <f aca="false">IF(A38="","",COUNTIFS(Tracker!$E$5:$E$304,A38,Tracker!$O$5:$O$304,"Open"))</f>
        <v>0</v>
      </c>
      <c r="D38" s="55" t="n">
        <f aca="false">IF(A38="","",COUNTIFS(Tracker!$E$5:$E$304,A38,Tracker!$O$5:$O$304,"In progress"))</f>
        <v>0</v>
      </c>
      <c r="E38" s="55" t="n">
        <f aca="false">IF(A38="","",COUNTIFS(Tracker!$E$5:$E$304,A38,Tracker!$O$5:$O$304,"Done - to verify"))</f>
        <v>0</v>
      </c>
      <c r="F38" s="55" t="n">
        <f aca="false">IF(A38="","",COUNTIFS(Tracker!$E$5:$E$304,A38,Tracker!$O$5:$O$304,"Closed"))</f>
        <v>0</v>
      </c>
      <c r="G38" s="55" t="n">
        <f aca="false">IF(A38="","",COUNTIFS(Tracker!$E$5:$E$304,A38,Tracker!$Q$5:$Q$304,"OVERDUE"))</f>
        <v>0</v>
      </c>
      <c r="H38" s="56" t="str">
        <f aca="false">IF(OR(A38="",B38=0),"",F38/B38)</f>
        <v/>
      </c>
    </row>
    <row r="39" customFormat="false" ht="15" hidden="false" customHeight="false" outlineLevel="0" collapsed="false">
      <c r="A39" s="54" t="str">
        <f aca="false">IF(Lists!$C$12="","",Lists!$C$12)</f>
        <v/>
      </c>
      <c r="B39" s="55" t="str">
        <f aca="false">IF(A39="","",COUNTIF(Tracker!$E$5:$E$304,A39))</f>
        <v/>
      </c>
      <c r="C39" s="55" t="str">
        <f aca="false">IF(A39="","",COUNTIFS(Tracker!$E$5:$E$304,A39,Tracker!$O$5:$O$304,"Open"))</f>
        <v/>
      </c>
      <c r="D39" s="55" t="str">
        <f aca="false">IF(A39="","",COUNTIFS(Tracker!$E$5:$E$304,A39,Tracker!$O$5:$O$304,"In progress"))</f>
        <v/>
      </c>
      <c r="E39" s="55" t="str">
        <f aca="false">IF(A39="","",COUNTIFS(Tracker!$E$5:$E$304,A39,Tracker!$O$5:$O$304,"Done - to verify"))</f>
        <v/>
      </c>
      <c r="F39" s="55" t="str">
        <f aca="false">IF(A39="","",COUNTIFS(Tracker!$E$5:$E$304,A39,Tracker!$O$5:$O$304,"Closed"))</f>
        <v/>
      </c>
      <c r="G39" s="57" t="str">
        <f aca="false">IF(A39="","",COUNTIFS(Tracker!$E$5:$E$304,A39,Tracker!$Q$5:$Q$304,"OVERDUE"))</f>
        <v/>
      </c>
      <c r="H39" s="56" t="str">
        <f aca="false">IF(OR(A39="",B39=0),"",F39/B39)</f>
        <v/>
      </c>
    </row>
    <row r="40" customFormat="false" ht="15" hidden="false" customHeight="false" outlineLevel="0" collapsed="false">
      <c r="A40" s="54" t="str">
        <f aca="false">IF(Lists!$C$13="","",Lists!$C$13)</f>
        <v/>
      </c>
      <c r="B40" s="55" t="str">
        <f aca="false">IF(A40="","",COUNTIF(Tracker!$E$5:$E$304,A40))</f>
        <v/>
      </c>
      <c r="C40" s="55" t="str">
        <f aca="false">IF(A40="","",COUNTIFS(Tracker!$E$5:$E$304,A40,Tracker!$O$5:$O$304,"Open"))</f>
        <v/>
      </c>
      <c r="D40" s="55" t="str">
        <f aca="false">IF(A40="","",COUNTIFS(Tracker!$E$5:$E$304,A40,Tracker!$O$5:$O$304,"In progress"))</f>
        <v/>
      </c>
      <c r="E40" s="55" t="str">
        <f aca="false">IF(A40="","",COUNTIFS(Tracker!$E$5:$E$304,A40,Tracker!$O$5:$O$304,"Done - to verify"))</f>
        <v/>
      </c>
      <c r="F40" s="55" t="str">
        <f aca="false">IF(A40="","",COUNTIFS(Tracker!$E$5:$E$304,A40,Tracker!$O$5:$O$304,"Closed"))</f>
        <v/>
      </c>
      <c r="G40" s="57" t="str">
        <f aca="false">IF(A40="","",COUNTIFS(Tracker!$E$5:$E$304,A40,Tracker!$Q$5:$Q$304,"OVERDUE"))</f>
        <v/>
      </c>
      <c r="H40" s="56" t="str">
        <f aca="false">IF(OR(A40="",B40=0),"",F40/B40)</f>
        <v/>
      </c>
    </row>
    <row r="41" customFormat="false" ht="15" hidden="false" customHeight="false" outlineLevel="0" collapsed="false">
      <c r="A41" s="54" t="str">
        <f aca="false">IF(Lists!$C$14="","",Lists!$C$14)</f>
        <v/>
      </c>
      <c r="B41" s="55" t="str">
        <f aca="false">IF(A41="","",COUNTIF(Tracker!$E$5:$E$304,A41))</f>
        <v/>
      </c>
      <c r="C41" s="55" t="str">
        <f aca="false">IF(A41="","",COUNTIFS(Tracker!$E$5:$E$304,A41,Tracker!$O$5:$O$304,"Open"))</f>
        <v/>
      </c>
      <c r="D41" s="55" t="str">
        <f aca="false">IF(A41="","",COUNTIFS(Tracker!$E$5:$E$304,A41,Tracker!$O$5:$O$304,"In progress"))</f>
        <v/>
      </c>
      <c r="E41" s="55" t="str">
        <f aca="false">IF(A41="","",COUNTIFS(Tracker!$E$5:$E$304,A41,Tracker!$O$5:$O$304,"Done - to verify"))</f>
        <v/>
      </c>
      <c r="F41" s="55" t="str">
        <f aca="false">IF(A41="","",COUNTIFS(Tracker!$E$5:$E$304,A41,Tracker!$O$5:$O$304,"Closed"))</f>
        <v/>
      </c>
      <c r="G41" s="57" t="str">
        <f aca="false">IF(A41="","",COUNTIFS(Tracker!$E$5:$E$304,A41,Tracker!$Q$5:$Q$304,"OVERDUE"))</f>
        <v/>
      </c>
      <c r="H41" s="56" t="str">
        <f aca="false">IF(OR(A41="",B41=0),"",F41/B41)</f>
        <v/>
      </c>
    </row>
  </sheetData>
  <conditionalFormatting sqref="G11">
    <cfRule type="cellIs" priority="2" operator="greaterThan" aboveAverage="0" equalAverage="0" bottom="0" percent="0" rank="0" text="" dxfId="16">
      <formula>0</formula>
    </cfRule>
  </conditionalFormatting>
  <conditionalFormatting sqref="G12">
    <cfRule type="cellIs" priority="3" operator="greaterThan" aboveAverage="0" equalAverage="0" bottom="0" percent="0" rank="0" text="" dxfId="16">
      <formula>0</formula>
    </cfRule>
  </conditionalFormatting>
  <conditionalFormatting sqref="G13">
    <cfRule type="cellIs" priority="4" operator="greaterThan" aboveAverage="0" equalAverage="0" bottom="0" percent="0" rank="0" text="" dxfId="16">
      <formula>0</formula>
    </cfRule>
  </conditionalFormatting>
  <conditionalFormatting sqref="G14">
    <cfRule type="cellIs" priority="5" operator="greaterThan" aboveAverage="0" equalAverage="0" bottom="0" percent="0" rank="0" text="" dxfId="16">
      <formula>0</formula>
    </cfRule>
  </conditionalFormatting>
  <conditionalFormatting sqref="G15">
    <cfRule type="cellIs" priority="6" operator="greaterThan" aboveAverage="0" equalAverage="0" bottom="0" percent="0" rank="0" text="" dxfId="16">
      <formula>0</formula>
    </cfRule>
  </conditionalFormatting>
  <conditionalFormatting sqref="G16">
    <cfRule type="cellIs" priority="7" operator="greaterThan" aboveAverage="0" equalAverage="0" bottom="0" percent="0" rank="0" text="" dxfId="16">
      <formula>0</formula>
    </cfRule>
  </conditionalFormatting>
  <conditionalFormatting sqref="G17">
    <cfRule type="cellIs" priority="8" operator="greaterThan" aboveAverage="0" equalAverage="0" bottom="0" percent="0" rank="0" text="" dxfId="16">
      <formula>0</formula>
    </cfRule>
  </conditionalFormatting>
  <conditionalFormatting sqref="G18">
    <cfRule type="cellIs" priority="9" operator="greaterThan" aboveAverage="0" equalAverage="0" bottom="0" percent="0" rank="0" text="" dxfId="16">
      <formula>0</formula>
    </cfRule>
  </conditionalFormatting>
  <conditionalFormatting sqref="G19">
    <cfRule type="cellIs" priority="10" operator="greaterThan" aboveAverage="0" equalAverage="0" bottom="0" percent="0" rank="0" text="" dxfId="16">
      <formula>0</formula>
    </cfRule>
  </conditionalFormatting>
  <conditionalFormatting sqref="G20">
    <cfRule type="cellIs" priority="11" operator="greaterThan" aboveAverage="0" equalAverage="0" bottom="0" percent="0" rank="0" text="" dxfId="16">
      <formula>0</formula>
    </cfRule>
  </conditionalFormatting>
  <conditionalFormatting sqref="G24">
    <cfRule type="cellIs" priority="12" operator="greaterThan" aboveAverage="0" equalAverage="0" bottom="0" percent="0" rank="0" text="" dxfId="16">
      <formula>0</formula>
    </cfRule>
  </conditionalFormatting>
  <conditionalFormatting sqref="G25">
    <cfRule type="cellIs" priority="13" operator="greaterThan" aboveAverage="0" equalAverage="0" bottom="0" percent="0" rank="0" text="" dxfId="16">
      <formula>0</formula>
    </cfRule>
  </conditionalFormatting>
  <conditionalFormatting sqref="G26">
    <cfRule type="cellIs" priority="14" operator="greaterThan" aboveAverage="0" equalAverage="0" bottom="0" percent="0" rank="0" text="" dxfId="16">
      <formula>0</formula>
    </cfRule>
  </conditionalFormatting>
  <conditionalFormatting sqref="G30">
    <cfRule type="cellIs" priority="15" operator="greaterThan" aboveAverage="0" equalAverage="0" bottom="0" percent="0" rank="0" text="" dxfId="16">
      <formula>0</formula>
    </cfRule>
  </conditionalFormatting>
  <conditionalFormatting sqref="G31">
    <cfRule type="cellIs" priority="16" operator="greaterThan" aboveAverage="0" equalAverage="0" bottom="0" percent="0" rank="0" text="" dxfId="16">
      <formula>0</formula>
    </cfRule>
  </conditionalFormatting>
  <conditionalFormatting sqref="G32">
    <cfRule type="cellIs" priority="17" operator="greaterThan" aboveAverage="0" equalAverage="0" bottom="0" percent="0" rank="0" text="" dxfId="16">
      <formula>0</formula>
    </cfRule>
  </conditionalFormatting>
  <conditionalFormatting sqref="G33">
    <cfRule type="cellIs" priority="18" operator="greaterThan" aboveAverage="0" equalAverage="0" bottom="0" percent="0" rank="0" text="" dxfId="16">
      <formula>0</formula>
    </cfRule>
  </conditionalFormatting>
  <conditionalFormatting sqref="G34">
    <cfRule type="cellIs" priority="19" operator="greaterThan" aboveAverage="0" equalAverage="0" bottom="0" percent="0" rank="0" text="" dxfId="16">
      <formula>0</formula>
    </cfRule>
  </conditionalFormatting>
  <conditionalFormatting sqref="G35">
    <cfRule type="cellIs" priority="20" operator="greaterThan" aboveAverage="0" equalAverage="0" bottom="0" percent="0" rank="0" text="" dxfId="16">
      <formula>0</formula>
    </cfRule>
  </conditionalFormatting>
  <conditionalFormatting sqref="G36">
    <cfRule type="cellIs" priority="21" operator="greaterThan" aboveAverage="0" equalAverage="0" bottom="0" percent="0" rank="0" text="" dxfId="16">
      <formula>0</formula>
    </cfRule>
  </conditionalFormatting>
  <conditionalFormatting sqref="G37">
    <cfRule type="cellIs" priority="22" operator="greaterThan" aboveAverage="0" equalAverage="0" bottom="0" percent="0" rank="0" text="" dxfId="16">
      <formula>0</formula>
    </cfRule>
  </conditionalFormatting>
  <conditionalFormatting sqref="G38">
    <cfRule type="cellIs" priority="23" operator="greaterThan" aboveAverage="0" equalAverage="0" bottom="0" percent="0" rank="0" text="" dxfId="16">
      <formula>0</formula>
    </cfRule>
  </conditionalFormatting>
  <conditionalFormatting sqref="G39">
    <cfRule type="cellIs" priority="24" operator="greaterThan" aboveAverage="0" equalAverage="0" bottom="0" percent="0" rank="0" text="" dxfId="16">
      <formula>0</formula>
    </cfRule>
  </conditionalFormatting>
  <conditionalFormatting sqref="G40">
    <cfRule type="cellIs" priority="25" operator="greaterThan" aboveAverage="0" equalAverage="0" bottom="0" percent="0" rank="0" text="" dxfId="16">
      <formula>0</formula>
    </cfRule>
  </conditionalFormatting>
  <conditionalFormatting sqref="G41">
    <cfRule type="cellIs" priority="26" operator="greaterThan" aboveAverage="0" equalAverage="0" bottom="0" percent="0" rank="0" text="" dxfId="1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8" min="7" style="0" width="11"/>
    <col collapsed="false" customWidth="true" hidden="false" outlineLevel="0" max="9" min="9" style="0" width="26"/>
    <col collapsed="false" customWidth="true" hidden="false" outlineLevel="0" max="10" min="10" style="0" width="40"/>
    <col collapsed="false" customWidth="true" hidden="false" outlineLevel="0" max="11" min="11" style="0" width="13"/>
    <col collapsed="false" customWidth="true" hidden="false" outlineLevel="0" max="12" min="12" style="0" width="50"/>
  </cols>
  <sheetData>
    <row r="1" customFormat="false" ht="19.7" hidden="false" customHeight="false" outlineLevel="0" collapsed="false">
      <c r="A1" s="20" t="s">
        <v>157</v>
      </c>
    </row>
    <row r="2" customFormat="false" ht="15" hidden="false" customHeight="false" outlineLevel="0" collapsed="false">
      <c r="A2" s="21" t="s">
        <v>158</v>
      </c>
    </row>
    <row r="4" customFormat="false" ht="33.75" hidden="false" customHeight="true" outlineLevel="0" collapsed="false">
      <c r="A4" s="40" t="s">
        <v>159</v>
      </c>
      <c r="B4" s="40" t="s">
        <v>74</v>
      </c>
      <c r="C4" s="40" t="s">
        <v>52</v>
      </c>
      <c r="D4" s="40" t="s">
        <v>160</v>
      </c>
      <c r="E4" s="40" t="s">
        <v>161</v>
      </c>
      <c r="F4" s="40" t="s">
        <v>162</v>
      </c>
      <c r="G4" s="40" t="s">
        <v>163</v>
      </c>
      <c r="H4" s="40" t="s">
        <v>164</v>
      </c>
      <c r="I4" s="40" t="s">
        <v>165</v>
      </c>
      <c r="J4" s="40" t="s">
        <v>166</v>
      </c>
      <c r="K4" s="40" t="s">
        <v>167</v>
      </c>
      <c r="L4" s="40" t="s">
        <v>168</v>
      </c>
    </row>
    <row r="5" customFormat="false" ht="61.5" hidden="false" customHeight="true" outlineLevel="0" collapsed="false">
      <c r="A5" s="30" t="s">
        <v>169</v>
      </c>
      <c r="B5" s="30" t="s">
        <v>93</v>
      </c>
      <c r="C5" s="30" t="s">
        <v>91</v>
      </c>
      <c r="D5" s="58"/>
      <c r="E5" s="30" t="s">
        <v>170</v>
      </c>
      <c r="F5" s="30" t="s">
        <v>171</v>
      </c>
      <c r="G5" s="59" t="n">
        <f aca="false">IF(C5="","",COUNTIFS(Tracker!$B$5:$B$304,C5,Tracker!$D$5:$D$304,B5))</f>
        <v>7</v>
      </c>
      <c r="H5" s="59" t="n">
        <f aca="false">IF(C5="","",COUNTIFS(Tracker!$B$5:$B$304,C5,Tracker!$D$5:$D$304,B5,Tracker!$O$5:$O$304,"Closed"))</f>
        <v>0</v>
      </c>
      <c r="I5" s="30" t="s">
        <v>172</v>
      </c>
      <c r="J5" s="30" t="s">
        <v>173</v>
      </c>
      <c r="K5" s="58"/>
      <c r="L5" s="30" t="s">
        <v>174</v>
      </c>
    </row>
    <row r="6" customFormat="false" ht="61.5" hidden="false" customHeight="true" outlineLevel="0" collapsed="false">
      <c r="A6" s="30" t="s">
        <v>175</v>
      </c>
      <c r="B6" s="30" t="s">
        <v>93</v>
      </c>
      <c r="C6" s="30" t="s">
        <v>138</v>
      </c>
      <c r="D6" s="58"/>
      <c r="E6" s="30" t="s">
        <v>176</v>
      </c>
      <c r="F6" s="30" t="s">
        <v>177</v>
      </c>
      <c r="G6" s="59" t="n">
        <f aca="false">IF(C6="","",COUNTIFS(Tracker!$B$5:$B$304,C6,Tracker!$D$5:$D$304,B6))</f>
        <v>1</v>
      </c>
      <c r="H6" s="59" t="n">
        <f aca="false">IF(C6="","",COUNTIFS(Tracker!$B$5:$B$304,C6,Tracker!$D$5:$D$304,B6,Tracker!$O$5:$O$304,"Closed"))</f>
        <v>0</v>
      </c>
      <c r="I6" s="30" t="s">
        <v>178</v>
      </c>
      <c r="J6" s="30" t="s">
        <v>179</v>
      </c>
      <c r="K6" s="58"/>
      <c r="L6" s="30" t="s">
        <v>180</v>
      </c>
    </row>
    <row r="7" customFormat="false" ht="15" hidden="false" customHeight="false" outlineLevel="0" collapsed="false">
      <c r="A7" s="30"/>
      <c r="B7" s="30"/>
      <c r="C7" s="30"/>
      <c r="D7" s="58"/>
      <c r="E7" s="30"/>
      <c r="F7" s="30"/>
      <c r="G7" s="59" t="str">
        <f aca="false">IF(C7="","",COUNTIFS(Tracker!$B$5:$B$304,C7,Tracker!$D$5:$D$304,B7))</f>
        <v/>
      </c>
      <c r="H7" s="59" t="str">
        <f aca="false">IF(C7="","",COUNTIFS(Tracker!$B$5:$B$304,C7,Tracker!$D$5:$D$304,B7,Tracker!$O$5:$O$304,"Closed"))</f>
        <v/>
      </c>
      <c r="I7" s="30"/>
      <c r="J7" s="30"/>
      <c r="K7" s="58"/>
      <c r="L7" s="30"/>
    </row>
    <row r="8" customFormat="false" ht="15" hidden="false" customHeight="false" outlineLevel="0" collapsed="false">
      <c r="A8" s="30"/>
      <c r="B8" s="30"/>
      <c r="C8" s="30"/>
      <c r="D8" s="58"/>
      <c r="E8" s="30"/>
      <c r="F8" s="30"/>
      <c r="G8" s="59" t="str">
        <f aca="false">IF(C8="","",COUNTIFS(Tracker!$B$5:$B$304,C8,Tracker!$D$5:$D$304,B8))</f>
        <v/>
      </c>
      <c r="H8" s="59" t="str">
        <f aca="false">IF(C8="","",COUNTIFS(Tracker!$B$5:$B$304,C8,Tracker!$D$5:$D$304,B8,Tracker!$O$5:$O$304,"Closed"))</f>
        <v/>
      </c>
      <c r="I8" s="30"/>
      <c r="J8" s="30"/>
      <c r="K8" s="58"/>
      <c r="L8" s="30"/>
    </row>
    <row r="9" customFormat="false" ht="15" hidden="false" customHeight="false" outlineLevel="0" collapsed="false">
      <c r="A9" s="30"/>
      <c r="B9" s="30"/>
      <c r="C9" s="30"/>
      <c r="D9" s="58"/>
      <c r="E9" s="30"/>
      <c r="F9" s="30"/>
      <c r="G9" s="59" t="str">
        <f aca="false">IF(C9="","",COUNTIFS(Tracker!$B$5:$B$304,C9,Tracker!$D$5:$D$304,B9))</f>
        <v/>
      </c>
      <c r="H9" s="59" t="str">
        <f aca="false">IF(C9="","",COUNTIFS(Tracker!$B$5:$B$304,C9,Tracker!$D$5:$D$304,B9,Tracker!$O$5:$O$304,"Closed"))</f>
        <v/>
      </c>
      <c r="I9" s="30"/>
      <c r="J9" s="30"/>
      <c r="K9" s="58"/>
      <c r="L9" s="30"/>
    </row>
    <row r="10" customFormat="false" ht="15" hidden="false" customHeight="false" outlineLevel="0" collapsed="false">
      <c r="A10" s="30"/>
      <c r="B10" s="30"/>
      <c r="C10" s="30"/>
      <c r="D10" s="58"/>
      <c r="E10" s="30"/>
      <c r="F10" s="30"/>
      <c r="G10" s="59" t="str">
        <f aca="false">IF(C10="","",COUNTIFS(Tracker!$B$5:$B$304,C10,Tracker!$D$5:$D$304,B10))</f>
        <v/>
      </c>
      <c r="H10" s="59" t="str">
        <f aca="false">IF(C10="","",COUNTIFS(Tracker!$B$5:$B$304,C10,Tracker!$D$5:$D$304,B10,Tracker!$O$5:$O$304,"Closed"))</f>
        <v/>
      </c>
      <c r="I10" s="30"/>
      <c r="J10" s="30"/>
      <c r="K10" s="58"/>
      <c r="L10" s="30"/>
    </row>
    <row r="11" customFormat="false" ht="15" hidden="false" customHeight="false" outlineLevel="0" collapsed="false">
      <c r="A11" s="30"/>
      <c r="B11" s="30"/>
      <c r="C11" s="30"/>
      <c r="D11" s="58"/>
      <c r="E11" s="30"/>
      <c r="F11" s="30"/>
      <c r="G11" s="59" t="str">
        <f aca="false">IF(C11="","",COUNTIFS(Tracker!$B$5:$B$304,C11,Tracker!$D$5:$D$304,B11))</f>
        <v/>
      </c>
      <c r="H11" s="59" t="str">
        <f aca="false">IF(C11="","",COUNTIFS(Tracker!$B$5:$B$304,C11,Tracker!$D$5:$D$304,B11,Tracker!$O$5:$O$304,"Closed"))</f>
        <v/>
      </c>
      <c r="I11" s="30"/>
      <c r="J11" s="30"/>
      <c r="K11" s="58"/>
      <c r="L11" s="30"/>
    </row>
    <row r="12" customFormat="false" ht="15" hidden="false" customHeight="false" outlineLevel="0" collapsed="false">
      <c r="A12" s="30"/>
      <c r="B12" s="30"/>
      <c r="C12" s="30"/>
      <c r="D12" s="58"/>
      <c r="E12" s="30"/>
      <c r="F12" s="30"/>
      <c r="G12" s="59" t="str">
        <f aca="false">IF(C12="","",COUNTIFS(Tracker!$B$5:$B$304,C12,Tracker!$D$5:$D$304,B12))</f>
        <v/>
      </c>
      <c r="H12" s="59" t="str">
        <f aca="false">IF(C12="","",COUNTIFS(Tracker!$B$5:$B$304,C12,Tracker!$D$5:$D$304,B12,Tracker!$O$5:$O$304,"Closed"))</f>
        <v/>
      </c>
      <c r="I12" s="30"/>
      <c r="J12" s="30"/>
      <c r="K12" s="58"/>
      <c r="L12" s="30"/>
    </row>
    <row r="13" customFormat="false" ht="15" hidden="false" customHeight="false" outlineLevel="0" collapsed="false">
      <c r="A13" s="30"/>
      <c r="B13" s="30"/>
      <c r="C13" s="30"/>
      <c r="D13" s="58"/>
      <c r="E13" s="30"/>
      <c r="F13" s="30"/>
      <c r="G13" s="59" t="str">
        <f aca="false">IF(C13="","",COUNTIFS(Tracker!$B$5:$B$304,C13,Tracker!$D$5:$D$304,B13))</f>
        <v/>
      </c>
      <c r="H13" s="59" t="str">
        <f aca="false">IF(C13="","",COUNTIFS(Tracker!$B$5:$B$304,C13,Tracker!$D$5:$D$304,B13,Tracker!$O$5:$O$304,"Closed"))</f>
        <v/>
      </c>
      <c r="I13" s="30"/>
      <c r="J13" s="30"/>
      <c r="K13" s="58"/>
      <c r="L13" s="30"/>
    </row>
    <row r="14" customFormat="false" ht="15" hidden="false" customHeight="false" outlineLevel="0" collapsed="false">
      <c r="A14" s="30"/>
      <c r="B14" s="30"/>
      <c r="C14" s="30"/>
      <c r="D14" s="58"/>
      <c r="E14" s="30"/>
      <c r="F14" s="30"/>
      <c r="G14" s="59" t="str">
        <f aca="false">IF(C14="","",COUNTIFS(Tracker!$B$5:$B$304,C14,Tracker!$D$5:$D$304,B14))</f>
        <v/>
      </c>
      <c r="H14" s="59" t="str">
        <f aca="false">IF(C14="","",COUNTIFS(Tracker!$B$5:$B$304,C14,Tracker!$D$5:$D$304,B14,Tracker!$O$5:$O$304,"Closed"))</f>
        <v/>
      </c>
      <c r="I14" s="30"/>
      <c r="J14" s="30"/>
      <c r="K14" s="58"/>
      <c r="L14" s="30"/>
    </row>
    <row r="15" customFormat="false" ht="15" hidden="false" customHeight="false" outlineLevel="0" collapsed="false">
      <c r="A15" s="30"/>
      <c r="B15" s="30"/>
      <c r="C15" s="30"/>
      <c r="D15" s="58"/>
      <c r="E15" s="30"/>
      <c r="F15" s="30"/>
      <c r="G15" s="59" t="str">
        <f aca="false">IF(C15="","",COUNTIFS(Tracker!$B$5:$B$304,C15,Tracker!$D$5:$D$304,B15))</f>
        <v/>
      </c>
      <c r="H15" s="59" t="str">
        <f aca="false">IF(C15="","",COUNTIFS(Tracker!$B$5:$B$304,C15,Tracker!$D$5:$D$304,B15,Tracker!$O$5:$O$304,"Closed"))</f>
        <v/>
      </c>
      <c r="I15" s="30"/>
      <c r="J15" s="30"/>
      <c r="K15" s="58"/>
      <c r="L15" s="30"/>
    </row>
    <row r="16" customFormat="false" ht="15" hidden="false" customHeight="false" outlineLevel="0" collapsed="false">
      <c r="A16" s="30"/>
      <c r="B16" s="30"/>
      <c r="C16" s="30"/>
      <c r="D16" s="58"/>
      <c r="E16" s="30"/>
      <c r="F16" s="30"/>
      <c r="G16" s="59" t="str">
        <f aca="false">IF(C16="","",COUNTIFS(Tracker!$B$5:$B$304,C16,Tracker!$D$5:$D$304,B16))</f>
        <v/>
      </c>
      <c r="H16" s="59" t="str">
        <f aca="false">IF(C16="","",COUNTIFS(Tracker!$B$5:$B$304,C16,Tracker!$D$5:$D$304,B16,Tracker!$O$5:$O$304,"Closed"))</f>
        <v/>
      </c>
      <c r="I16" s="30"/>
      <c r="J16" s="30"/>
      <c r="K16" s="58"/>
      <c r="L16" s="30"/>
    </row>
    <row r="17" customFormat="false" ht="15" hidden="false" customHeight="false" outlineLevel="0" collapsed="false">
      <c r="A17" s="30"/>
      <c r="B17" s="30"/>
      <c r="C17" s="30"/>
      <c r="D17" s="58"/>
      <c r="E17" s="30"/>
      <c r="F17" s="30"/>
      <c r="G17" s="59" t="str">
        <f aca="false">IF(C17="","",COUNTIFS(Tracker!$B$5:$B$304,C17,Tracker!$D$5:$D$304,B17))</f>
        <v/>
      </c>
      <c r="H17" s="59" t="str">
        <f aca="false">IF(C17="","",COUNTIFS(Tracker!$B$5:$B$304,C17,Tracker!$D$5:$D$304,B17,Tracker!$O$5:$O$304,"Closed"))</f>
        <v/>
      </c>
      <c r="I17" s="30"/>
      <c r="J17" s="30"/>
      <c r="K17" s="58"/>
      <c r="L17" s="30"/>
    </row>
    <row r="18" customFormat="false" ht="15" hidden="false" customHeight="false" outlineLevel="0" collapsed="false">
      <c r="A18" s="30"/>
      <c r="B18" s="30"/>
      <c r="C18" s="30"/>
      <c r="D18" s="58"/>
      <c r="E18" s="30"/>
      <c r="F18" s="30"/>
      <c r="G18" s="59" t="str">
        <f aca="false">IF(C18="","",COUNTIFS(Tracker!$B$5:$B$304,C18,Tracker!$D$5:$D$304,B18))</f>
        <v/>
      </c>
      <c r="H18" s="59" t="str">
        <f aca="false">IF(C18="","",COUNTIFS(Tracker!$B$5:$B$304,C18,Tracker!$D$5:$D$304,B18,Tracker!$O$5:$O$304,"Closed"))</f>
        <v/>
      </c>
      <c r="I18" s="30"/>
      <c r="J18" s="30"/>
      <c r="K18" s="58"/>
      <c r="L18" s="30"/>
    </row>
    <row r="19" customFormat="false" ht="15" hidden="false" customHeight="false" outlineLevel="0" collapsed="false">
      <c r="A19" s="30"/>
      <c r="B19" s="30"/>
      <c r="C19" s="30"/>
      <c r="D19" s="58"/>
      <c r="E19" s="30"/>
      <c r="F19" s="30"/>
      <c r="G19" s="59" t="str">
        <f aca="false">IF(C19="","",COUNTIFS(Tracker!$B$5:$B$304,C19,Tracker!$D$5:$D$304,B19))</f>
        <v/>
      </c>
      <c r="H19" s="59" t="str">
        <f aca="false">IF(C19="","",COUNTIFS(Tracker!$B$5:$B$304,C19,Tracker!$D$5:$D$304,B19,Tracker!$O$5:$O$304,"Closed"))</f>
        <v/>
      </c>
      <c r="I19" s="30"/>
      <c r="J19" s="30"/>
      <c r="K19" s="58"/>
      <c r="L19" s="30"/>
    </row>
    <row r="20" customFormat="false" ht="15" hidden="false" customHeight="false" outlineLevel="0" collapsed="false">
      <c r="A20" s="30"/>
      <c r="B20" s="30"/>
      <c r="C20" s="30"/>
      <c r="D20" s="58"/>
      <c r="E20" s="30"/>
      <c r="F20" s="30"/>
      <c r="G20" s="59" t="str">
        <f aca="false">IF(C20="","",COUNTIFS(Tracker!$B$5:$B$304,C20,Tracker!$D$5:$D$304,B20))</f>
        <v/>
      </c>
      <c r="H20" s="59" t="str">
        <f aca="false">IF(C20="","",COUNTIFS(Tracker!$B$5:$B$304,C20,Tracker!$D$5:$D$304,B20,Tracker!$O$5:$O$304,"Closed"))</f>
        <v/>
      </c>
      <c r="I20" s="30"/>
      <c r="J20" s="30"/>
      <c r="K20" s="58"/>
      <c r="L20" s="30"/>
    </row>
    <row r="21" customFormat="false" ht="15" hidden="false" customHeight="false" outlineLevel="0" collapsed="false">
      <c r="A21" s="30"/>
      <c r="B21" s="30"/>
      <c r="C21" s="30"/>
      <c r="D21" s="58"/>
      <c r="E21" s="30"/>
      <c r="F21" s="30"/>
      <c r="G21" s="59" t="str">
        <f aca="false">IF(C21="","",COUNTIFS(Tracker!$B$5:$B$304,C21,Tracker!$D$5:$D$304,B21))</f>
        <v/>
      </c>
      <c r="H21" s="59" t="str">
        <f aca="false">IF(C21="","",COUNTIFS(Tracker!$B$5:$B$304,C21,Tracker!$D$5:$D$304,B21,Tracker!$O$5:$O$304,"Closed"))</f>
        <v/>
      </c>
      <c r="I21" s="30"/>
      <c r="J21" s="30"/>
      <c r="K21" s="58"/>
      <c r="L21" s="30"/>
    </row>
    <row r="22" customFormat="false" ht="15" hidden="false" customHeight="false" outlineLevel="0" collapsed="false">
      <c r="A22" s="30"/>
      <c r="B22" s="30"/>
      <c r="C22" s="30"/>
      <c r="D22" s="58"/>
      <c r="E22" s="30"/>
      <c r="F22" s="30"/>
      <c r="G22" s="59" t="str">
        <f aca="false">IF(C22="","",COUNTIFS(Tracker!$B$5:$B$304,C22,Tracker!$D$5:$D$304,B22))</f>
        <v/>
      </c>
      <c r="H22" s="59" t="str">
        <f aca="false">IF(C22="","",COUNTIFS(Tracker!$B$5:$B$304,C22,Tracker!$D$5:$D$304,B22,Tracker!$O$5:$O$304,"Closed"))</f>
        <v/>
      </c>
      <c r="I22" s="30"/>
      <c r="J22" s="30"/>
      <c r="K22" s="58"/>
      <c r="L22" s="30"/>
    </row>
    <row r="23" customFormat="false" ht="15" hidden="false" customHeight="false" outlineLevel="0" collapsed="false">
      <c r="A23" s="30"/>
      <c r="B23" s="30"/>
      <c r="C23" s="30"/>
      <c r="D23" s="58"/>
      <c r="E23" s="30"/>
      <c r="F23" s="30"/>
      <c r="G23" s="59" t="str">
        <f aca="false">IF(C23="","",COUNTIFS(Tracker!$B$5:$B$304,C23,Tracker!$D$5:$D$304,B23))</f>
        <v/>
      </c>
      <c r="H23" s="59" t="str">
        <f aca="false">IF(C23="","",COUNTIFS(Tracker!$B$5:$B$304,C23,Tracker!$D$5:$D$304,B23,Tracker!$O$5:$O$304,"Closed"))</f>
        <v/>
      </c>
      <c r="I23" s="30"/>
      <c r="J23" s="30"/>
      <c r="K23" s="58"/>
      <c r="L23" s="30"/>
    </row>
    <row r="24" customFormat="false" ht="15" hidden="false" customHeight="false" outlineLevel="0" collapsed="false">
      <c r="A24" s="30"/>
      <c r="B24" s="30"/>
      <c r="C24" s="30"/>
      <c r="D24" s="58"/>
      <c r="E24" s="30"/>
      <c r="F24" s="30"/>
      <c r="G24" s="59" t="str">
        <f aca="false">IF(C24="","",COUNTIFS(Tracker!$B$5:$B$304,C24,Tracker!$D$5:$D$304,B24))</f>
        <v/>
      </c>
      <c r="H24" s="59" t="str">
        <f aca="false">IF(C24="","",COUNTIFS(Tracker!$B$5:$B$304,C24,Tracker!$D$5:$D$304,B24,Tracker!$O$5:$O$304,"Closed"))</f>
        <v/>
      </c>
      <c r="I24" s="30"/>
      <c r="J24" s="30"/>
      <c r="K24" s="58"/>
      <c r="L24" s="30"/>
    </row>
    <row r="25" customFormat="false" ht="15" hidden="false" customHeight="false" outlineLevel="0" collapsed="false">
      <c r="A25" s="30"/>
      <c r="B25" s="30"/>
      <c r="C25" s="30"/>
      <c r="D25" s="58"/>
      <c r="E25" s="30"/>
      <c r="F25" s="30"/>
      <c r="G25" s="59" t="str">
        <f aca="false">IF(C25="","",COUNTIFS(Tracker!$B$5:$B$304,C25,Tracker!$D$5:$D$304,B25))</f>
        <v/>
      </c>
      <c r="H25" s="59" t="str">
        <f aca="false">IF(C25="","",COUNTIFS(Tracker!$B$5:$B$304,C25,Tracker!$D$5:$D$304,B25,Tracker!$O$5:$O$304,"Closed"))</f>
        <v/>
      </c>
      <c r="I25" s="30"/>
      <c r="J25" s="30"/>
      <c r="K25" s="58"/>
      <c r="L25" s="30"/>
    </row>
    <row r="26" customFormat="false" ht="15" hidden="false" customHeight="false" outlineLevel="0" collapsed="false">
      <c r="A26" s="30"/>
      <c r="B26" s="30"/>
      <c r="C26" s="30"/>
      <c r="D26" s="58"/>
      <c r="E26" s="30"/>
      <c r="F26" s="30"/>
      <c r="G26" s="59" t="str">
        <f aca="false">IF(C26="","",COUNTIFS(Tracker!$B$5:$B$304,C26,Tracker!$D$5:$D$304,B26))</f>
        <v/>
      </c>
      <c r="H26" s="59" t="str">
        <f aca="false">IF(C26="","",COUNTIFS(Tracker!$B$5:$B$304,C26,Tracker!$D$5:$D$304,B26,Tracker!$O$5:$O$304,"Closed"))</f>
        <v/>
      </c>
      <c r="I26" s="30"/>
      <c r="J26" s="30"/>
      <c r="K26" s="58"/>
      <c r="L26" s="30"/>
    </row>
    <row r="27" customFormat="false" ht="15" hidden="false" customHeight="false" outlineLevel="0" collapsed="false">
      <c r="A27" s="30"/>
      <c r="B27" s="30"/>
      <c r="C27" s="30"/>
      <c r="D27" s="58"/>
      <c r="E27" s="30"/>
      <c r="F27" s="30"/>
      <c r="G27" s="59" t="str">
        <f aca="false">IF(C27="","",COUNTIFS(Tracker!$B$5:$B$304,C27,Tracker!$D$5:$D$304,B27))</f>
        <v/>
      </c>
      <c r="H27" s="59" t="str">
        <f aca="false">IF(C27="","",COUNTIFS(Tracker!$B$5:$B$304,C27,Tracker!$D$5:$D$304,B27,Tracker!$O$5:$O$304,"Closed"))</f>
        <v/>
      </c>
      <c r="I27" s="30"/>
      <c r="J27" s="30"/>
      <c r="K27" s="58"/>
      <c r="L27" s="30"/>
    </row>
    <row r="28" customFormat="false" ht="15" hidden="false" customHeight="false" outlineLevel="0" collapsed="false">
      <c r="A28" s="30"/>
      <c r="B28" s="30"/>
      <c r="C28" s="30"/>
      <c r="D28" s="58"/>
      <c r="E28" s="30"/>
      <c r="F28" s="30"/>
      <c r="G28" s="59" t="str">
        <f aca="false">IF(C28="","",COUNTIFS(Tracker!$B$5:$B$304,C28,Tracker!$D$5:$D$304,B28))</f>
        <v/>
      </c>
      <c r="H28" s="59" t="str">
        <f aca="false">IF(C28="","",COUNTIFS(Tracker!$B$5:$B$304,C28,Tracker!$D$5:$D$304,B28,Tracker!$O$5:$O$304,"Closed"))</f>
        <v/>
      </c>
      <c r="I28" s="30"/>
      <c r="J28" s="30"/>
      <c r="K28" s="58"/>
      <c r="L28" s="30"/>
    </row>
    <row r="29" customFormat="false" ht="15" hidden="false" customHeight="false" outlineLevel="0" collapsed="false">
      <c r="A29" s="30"/>
      <c r="B29" s="30"/>
      <c r="C29" s="30"/>
      <c r="D29" s="58"/>
      <c r="E29" s="30"/>
      <c r="F29" s="30"/>
      <c r="G29" s="59" t="str">
        <f aca="false">IF(C29="","",COUNTIFS(Tracker!$B$5:$B$304,C29,Tracker!$D$5:$D$304,B29))</f>
        <v/>
      </c>
      <c r="H29" s="59" t="str">
        <f aca="false">IF(C29="","",COUNTIFS(Tracker!$B$5:$B$304,C29,Tracker!$D$5:$D$304,B29,Tracker!$O$5:$O$304,"Closed"))</f>
        <v/>
      </c>
      <c r="I29" s="30"/>
      <c r="J29" s="30"/>
      <c r="K29" s="58"/>
      <c r="L29" s="30"/>
    </row>
    <row r="30" customFormat="false" ht="15" hidden="false" customHeight="false" outlineLevel="0" collapsed="false">
      <c r="A30" s="30"/>
      <c r="B30" s="30"/>
      <c r="C30" s="30"/>
      <c r="D30" s="58"/>
      <c r="E30" s="30"/>
      <c r="F30" s="30"/>
      <c r="G30" s="59" t="str">
        <f aca="false">IF(C30="","",COUNTIFS(Tracker!$B$5:$B$304,C30,Tracker!$D$5:$D$304,B30))</f>
        <v/>
      </c>
      <c r="H30" s="59" t="str">
        <f aca="false">IF(C30="","",COUNTIFS(Tracker!$B$5:$B$304,C30,Tracker!$D$5:$D$304,B30,Tracker!$O$5:$O$304,"Closed"))</f>
        <v/>
      </c>
      <c r="I30" s="30"/>
      <c r="J30" s="30"/>
      <c r="K30" s="58"/>
      <c r="L30" s="30"/>
    </row>
    <row r="31" customFormat="false" ht="15" hidden="false" customHeight="false" outlineLevel="0" collapsed="false">
      <c r="A31" s="30"/>
      <c r="B31" s="30"/>
      <c r="C31" s="30"/>
      <c r="D31" s="58"/>
      <c r="E31" s="30"/>
      <c r="F31" s="30"/>
      <c r="G31" s="59" t="str">
        <f aca="false">IF(C31="","",COUNTIFS(Tracker!$B$5:$B$304,C31,Tracker!$D$5:$D$304,B31))</f>
        <v/>
      </c>
      <c r="H31" s="59" t="str">
        <f aca="false">IF(C31="","",COUNTIFS(Tracker!$B$5:$B$304,C31,Tracker!$D$5:$D$304,B31,Tracker!$O$5:$O$304,"Closed"))</f>
        <v/>
      </c>
      <c r="I31" s="30"/>
      <c r="J31" s="30"/>
      <c r="K31" s="58"/>
      <c r="L31" s="30"/>
    </row>
    <row r="32" customFormat="false" ht="15" hidden="false" customHeight="false" outlineLevel="0" collapsed="false">
      <c r="A32" s="30"/>
      <c r="B32" s="30"/>
      <c r="C32" s="30"/>
      <c r="D32" s="58"/>
      <c r="E32" s="30"/>
      <c r="F32" s="30"/>
      <c r="G32" s="59" t="str">
        <f aca="false">IF(C32="","",COUNTIFS(Tracker!$B$5:$B$304,C32,Tracker!$D$5:$D$304,B32))</f>
        <v/>
      </c>
      <c r="H32" s="59" t="str">
        <f aca="false">IF(C32="","",COUNTIFS(Tracker!$B$5:$B$304,C32,Tracker!$D$5:$D$304,B32,Tracker!$O$5:$O$304,"Closed"))</f>
        <v/>
      </c>
      <c r="I32" s="30"/>
      <c r="J32" s="30"/>
      <c r="K32" s="58"/>
      <c r="L32" s="30"/>
    </row>
    <row r="33" customFormat="false" ht="15" hidden="false" customHeight="false" outlineLevel="0" collapsed="false">
      <c r="A33" s="30"/>
      <c r="B33" s="30"/>
      <c r="C33" s="30"/>
      <c r="D33" s="58"/>
      <c r="E33" s="30"/>
      <c r="F33" s="30"/>
      <c r="G33" s="59" t="str">
        <f aca="false">IF(C33="","",COUNTIFS(Tracker!$B$5:$B$304,C33,Tracker!$D$5:$D$304,B33))</f>
        <v/>
      </c>
      <c r="H33" s="59" t="str">
        <f aca="false">IF(C33="","",COUNTIFS(Tracker!$B$5:$B$304,C33,Tracker!$D$5:$D$304,B33,Tracker!$O$5:$O$304,"Closed"))</f>
        <v/>
      </c>
      <c r="I33" s="30"/>
      <c r="J33" s="30"/>
      <c r="K33" s="58"/>
      <c r="L33" s="30"/>
    </row>
    <row r="34" customFormat="false" ht="15" hidden="false" customHeight="false" outlineLevel="0" collapsed="false">
      <c r="A34" s="30"/>
      <c r="B34" s="30"/>
      <c r="C34" s="30"/>
      <c r="D34" s="58"/>
      <c r="E34" s="30"/>
      <c r="F34" s="30"/>
      <c r="G34" s="59" t="str">
        <f aca="false">IF(C34="","",COUNTIFS(Tracker!$B$5:$B$304,C34,Tracker!$D$5:$D$304,B34))</f>
        <v/>
      </c>
      <c r="H34" s="59" t="str">
        <f aca="false">IF(C34="","",COUNTIFS(Tracker!$B$5:$B$304,C34,Tracker!$D$5:$D$304,B34,Tracker!$O$5:$O$304,"Closed"))</f>
        <v/>
      </c>
      <c r="I34" s="30"/>
      <c r="J34" s="30"/>
      <c r="K34" s="58"/>
      <c r="L34" s="30"/>
    </row>
    <row r="35" customFormat="false" ht="15" hidden="false" customHeight="false" outlineLevel="0" collapsed="false">
      <c r="A35" s="30"/>
      <c r="B35" s="30"/>
      <c r="C35" s="30"/>
      <c r="D35" s="58"/>
      <c r="E35" s="30"/>
      <c r="F35" s="30"/>
      <c r="G35" s="59" t="str">
        <f aca="false">IF(C35="","",COUNTIFS(Tracker!$B$5:$B$304,C35,Tracker!$D$5:$D$304,B35))</f>
        <v/>
      </c>
      <c r="H35" s="59" t="str">
        <f aca="false">IF(C35="","",COUNTIFS(Tracker!$B$5:$B$304,C35,Tracker!$D$5:$D$304,B35,Tracker!$O$5:$O$304,"Closed"))</f>
        <v/>
      </c>
      <c r="I35" s="30"/>
      <c r="J35" s="30"/>
      <c r="K35" s="58"/>
      <c r="L35" s="30"/>
    </row>
    <row r="36" customFormat="false" ht="15" hidden="false" customHeight="false" outlineLevel="0" collapsed="false">
      <c r="A36" s="30"/>
      <c r="B36" s="30"/>
      <c r="C36" s="30"/>
      <c r="D36" s="58"/>
      <c r="E36" s="30"/>
      <c r="F36" s="30"/>
      <c r="G36" s="59" t="str">
        <f aca="false">IF(C36="","",COUNTIFS(Tracker!$B$5:$B$304,C36,Tracker!$D$5:$D$304,B36))</f>
        <v/>
      </c>
      <c r="H36" s="59" t="str">
        <f aca="false">IF(C36="","",COUNTIFS(Tracker!$B$5:$B$304,C36,Tracker!$D$5:$D$304,B36,Tracker!$O$5:$O$304,"Closed"))</f>
        <v/>
      </c>
      <c r="I36" s="30"/>
      <c r="J36" s="30"/>
      <c r="K36" s="58"/>
      <c r="L36" s="30"/>
    </row>
    <row r="37" customFormat="false" ht="15" hidden="false" customHeight="false" outlineLevel="0" collapsed="false">
      <c r="A37" s="30"/>
      <c r="B37" s="30"/>
      <c r="C37" s="30"/>
      <c r="D37" s="58"/>
      <c r="E37" s="30"/>
      <c r="F37" s="30"/>
      <c r="G37" s="59" t="str">
        <f aca="false">IF(C37="","",COUNTIFS(Tracker!$B$5:$B$304,C37,Tracker!$D$5:$D$304,B37))</f>
        <v/>
      </c>
      <c r="H37" s="59" t="str">
        <f aca="false">IF(C37="","",COUNTIFS(Tracker!$B$5:$B$304,C37,Tracker!$D$5:$D$304,B37,Tracker!$O$5:$O$304,"Closed"))</f>
        <v/>
      </c>
      <c r="I37" s="30"/>
      <c r="J37" s="30"/>
      <c r="K37" s="58"/>
      <c r="L37" s="30"/>
    </row>
    <row r="38" customFormat="false" ht="15" hidden="false" customHeight="false" outlineLevel="0" collapsed="false">
      <c r="A38" s="30"/>
      <c r="B38" s="30"/>
      <c r="C38" s="30"/>
      <c r="D38" s="58"/>
      <c r="E38" s="30"/>
      <c r="F38" s="30"/>
      <c r="G38" s="59" t="str">
        <f aca="false">IF(C38="","",COUNTIFS(Tracker!$B$5:$B$304,C38,Tracker!$D$5:$D$304,B38))</f>
        <v/>
      </c>
      <c r="H38" s="59" t="str">
        <f aca="false">IF(C38="","",COUNTIFS(Tracker!$B$5:$B$304,C38,Tracker!$D$5:$D$304,B38,Tracker!$O$5:$O$304,"Closed"))</f>
        <v/>
      </c>
      <c r="I38" s="30"/>
      <c r="J38" s="30"/>
      <c r="K38" s="58"/>
      <c r="L38" s="30"/>
    </row>
    <row r="39" customFormat="false" ht="15" hidden="false" customHeight="false" outlineLevel="0" collapsed="false">
      <c r="A39" s="30"/>
      <c r="B39" s="30"/>
      <c r="C39" s="30"/>
      <c r="D39" s="58"/>
      <c r="E39" s="30"/>
      <c r="F39" s="30"/>
      <c r="G39" s="59" t="str">
        <f aca="false">IF(C39="","",COUNTIFS(Tracker!$B$5:$B$304,C39,Tracker!$D$5:$D$304,B39))</f>
        <v/>
      </c>
      <c r="H39" s="59" t="str">
        <f aca="false">IF(C39="","",COUNTIFS(Tracker!$B$5:$B$304,C39,Tracker!$D$5:$D$304,B39,Tracker!$O$5:$O$304,"Closed"))</f>
        <v/>
      </c>
      <c r="I39" s="30"/>
      <c r="J39" s="30"/>
      <c r="K39" s="58"/>
      <c r="L39" s="30"/>
    </row>
    <row r="40" customFormat="false" ht="15" hidden="false" customHeight="false" outlineLevel="0" collapsed="false">
      <c r="A40" s="30"/>
      <c r="B40" s="30"/>
      <c r="C40" s="30"/>
      <c r="D40" s="58"/>
      <c r="E40" s="30"/>
      <c r="F40" s="30"/>
      <c r="G40" s="59" t="str">
        <f aca="false">IF(C40="","",COUNTIFS(Tracker!$B$5:$B$304,C40,Tracker!$D$5:$D$304,B40))</f>
        <v/>
      </c>
      <c r="H40" s="59" t="str">
        <f aca="false">IF(C40="","",COUNTIFS(Tracker!$B$5:$B$304,C40,Tracker!$D$5:$D$304,B40,Tracker!$O$5:$O$304,"Closed"))</f>
        <v/>
      </c>
      <c r="I40" s="30"/>
      <c r="J40" s="30"/>
      <c r="K40" s="58"/>
      <c r="L40" s="30"/>
    </row>
    <row r="41" customFormat="false" ht="15" hidden="false" customHeight="false" outlineLevel="0" collapsed="false">
      <c r="A41" s="30"/>
      <c r="B41" s="30"/>
      <c r="C41" s="30"/>
      <c r="D41" s="58"/>
      <c r="E41" s="30"/>
      <c r="F41" s="30"/>
      <c r="G41" s="59" t="str">
        <f aca="false">IF(C41="","",COUNTIFS(Tracker!$B$5:$B$304,C41,Tracker!$D$5:$D$304,B41))</f>
        <v/>
      </c>
      <c r="H41" s="59" t="str">
        <f aca="false">IF(C41="","",COUNTIFS(Tracker!$B$5:$B$304,C41,Tracker!$D$5:$D$304,B41,Tracker!$O$5:$O$304,"Closed"))</f>
        <v/>
      </c>
      <c r="I41" s="30"/>
      <c r="J41" s="30"/>
      <c r="K41" s="58"/>
      <c r="L41" s="30"/>
    </row>
    <row r="42" customFormat="false" ht="15" hidden="false" customHeight="false" outlineLevel="0" collapsed="false">
      <c r="A42" s="30"/>
      <c r="B42" s="30"/>
      <c r="C42" s="30"/>
      <c r="D42" s="58"/>
      <c r="E42" s="30"/>
      <c r="F42" s="30"/>
      <c r="G42" s="59" t="str">
        <f aca="false">IF(C42="","",COUNTIFS(Tracker!$B$5:$B$304,C42,Tracker!$D$5:$D$304,B42))</f>
        <v/>
      </c>
      <c r="H42" s="59" t="str">
        <f aca="false">IF(C42="","",COUNTIFS(Tracker!$B$5:$B$304,C42,Tracker!$D$5:$D$304,B42,Tracker!$O$5:$O$304,"Closed"))</f>
        <v/>
      </c>
      <c r="I42" s="30"/>
      <c r="J42" s="30"/>
      <c r="K42" s="58"/>
      <c r="L42" s="30"/>
    </row>
    <row r="43" customFormat="false" ht="15" hidden="false" customHeight="false" outlineLevel="0" collapsed="false">
      <c r="A43" s="30"/>
      <c r="B43" s="30"/>
      <c r="C43" s="30"/>
      <c r="D43" s="58"/>
      <c r="E43" s="30"/>
      <c r="F43" s="30"/>
      <c r="G43" s="59" t="str">
        <f aca="false">IF(C43="","",COUNTIFS(Tracker!$B$5:$B$304,C43,Tracker!$D$5:$D$304,B43))</f>
        <v/>
      </c>
      <c r="H43" s="59" t="str">
        <f aca="false">IF(C43="","",COUNTIFS(Tracker!$B$5:$B$304,C43,Tracker!$D$5:$D$304,B43,Tracker!$O$5:$O$304,"Closed"))</f>
        <v/>
      </c>
      <c r="I43" s="30"/>
      <c r="J43" s="30"/>
      <c r="K43" s="58"/>
      <c r="L43" s="30"/>
    </row>
    <row r="44" customFormat="false" ht="15" hidden="false" customHeight="false" outlineLevel="0" collapsed="false">
      <c r="A44" s="30"/>
      <c r="B44" s="30"/>
      <c r="C44" s="30"/>
      <c r="D44" s="58"/>
      <c r="E44" s="30"/>
      <c r="F44" s="30"/>
      <c r="G44" s="59" t="str">
        <f aca="false">IF(C44="","",COUNTIFS(Tracker!$B$5:$B$304,C44,Tracker!$D$5:$D$304,B44))</f>
        <v/>
      </c>
      <c r="H44" s="59" t="str">
        <f aca="false">IF(C44="","",COUNTIFS(Tracker!$B$5:$B$304,C44,Tracker!$D$5:$D$304,B44,Tracker!$O$5:$O$304,"Closed"))</f>
        <v/>
      </c>
      <c r="I44" s="30"/>
      <c r="J44" s="30"/>
      <c r="K44" s="58"/>
      <c r="L44" s="30"/>
    </row>
  </sheetData>
  <dataValidations count="1">
    <dataValidation allowBlank="true" error="Not in the list. Click Yes to keep it anyway, or add it to the Lists sheet." errorStyle="warning" operator="between" showDropDown="false" showErrorMessage="true" showInputMessage="false" sqref="C5:C44" type="list">
      <formula1>Lists!$A$3:$A$12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5" min="5" style="0" width="13"/>
  </cols>
  <sheetData>
    <row r="1" customFormat="false" ht="19.7" hidden="false" customHeight="false" outlineLevel="0" collapsed="false">
      <c r="A1" s="20" t="s">
        <v>181</v>
      </c>
    </row>
    <row r="2" customFormat="false" ht="15" hidden="false" customHeight="false" outlineLevel="0" collapsed="false">
      <c r="A2" s="21" t="s">
        <v>182</v>
      </c>
    </row>
    <row r="4" customFormat="false" ht="23.85" hidden="false" customHeight="false" outlineLevel="0" collapsed="false">
      <c r="A4" s="40" t="s">
        <v>183</v>
      </c>
      <c r="B4" s="40" t="s">
        <v>184</v>
      </c>
      <c r="C4" s="40" t="s">
        <v>185</v>
      </c>
      <c r="D4" s="40" t="s">
        <v>186</v>
      </c>
      <c r="E4" s="40" t="s">
        <v>187</v>
      </c>
    </row>
    <row r="5" customFormat="false" ht="23.85" hidden="false" customHeight="false" outlineLevel="0" collapsed="false">
      <c r="A5" s="58"/>
      <c r="B5" s="30"/>
      <c r="C5" s="30" t="s">
        <v>188</v>
      </c>
      <c r="D5" s="30"/>
      <c r="E5" s="58"/>
    </row>
    <row r="6" customFormat="false" ht="15" hidden="false" customHeight="false" outlineLevel="0" collapsed="false">
      <c r="A6" s="58"/>
      <c r="B6" s="30"/>
      <c r="C6" s="30"/>
      <c r="D6" s="30"/>
      <c r="E6" s="58"/>
    </row>
    <row r="7" customFormat="false" ht="15" hidden="false" customHeight="false" outlineLevel="0" collapsed="false">
      <c r="A7" s="58"/>
      <c r="B7" s="30"/>
      <c r="C7" s="30"/>
      <c r="D7" s="30"/>
      <c r="E7" s="58"/>
    </row>
    <row r="8" customFormat="false" ht="15" hidden="false" customHeight="false" outlineLevel="0" collapsed="false">
      <c r="A8" s="58"/>
      <c r="B8" s="30"/>
      <c r="C8" s="30"/>
      <c r="D8" s="30"/>
      <c r="E8" s="58"/>
    </row>
    <row r="9" customFormat="false" ht="15" hidden="false" customHeight="false" outlineLevel="0" collapsed="false">
      <c r="A9" s="58"/>
      <c r="B9" s="30"/>
      <c r="C9" s="30"/>
      <c r="D9" s="30"/>
      <c r="E9" s="58"/>
    </row>
    <row r="10" customFormat="false" ht="15" hidden="false" customHeight="false" outlineLevel="0" collapsed="false">
      <c r="A10" s="58"/>
      <c r="B10" s="30"/>
      <c r="C10" s="30"/>
      <c r="D10" s="30"/>
      <c r="E10" s="58"/>
    </row>
    <row r="11" customFormat="false" ht="15" hidden="false" customHeight="false" outlineLevel="0" collapsed="false">
      <c r="A11" s="58"/>
      <c r="B11" s="30"/>
      <c r="C11" s="30"/>
      <c r="D11" s="30"/>
      <c r="E11" s="58"/>
    </row>
    <row r="12" customFormat="false" ht="15" hidden="false" customHeight="false" outlineLevel="0" collapsed="false">
      <c r="A12" s="58"/>
      <c r="B12" s="30"/>
      <c r="C12" s="30"/>
      <c r="D12" s="30"/>
      <c r="E12" s="58"/>
    </row>
    <row r="13" customFormat="false" ht="15" hidden="false" customHeight="false" outlineLevel="0" collapsed="false">
      <c r="A13" s="58"/>
      <c r="B13" s="30"/>
      <c r="C13" s="30"/>
      <c r="D13" s="30"/>
      <c r="E13" s="58"/>
    </row>
    <row r="14" customFormat="false" ht="15" hidden="false" customHeight="false" outlineLevel="0" collapsed="false">
      <c r="A14" s="58"/>
      <c r="B14" s="30"/>
      <c r="C14" s="30"/>
      <c r="D14" s="30"/>
      <c r="E14" s="58"/>
    </row>
    <row r="15" customFormat="false" ht="15" hidden="false" customHeight="false" outlineLevel="0" collapsed="false">
      <c r="A15" s="58"/>
      <c r="B15" s="30"/>
      <c r="C15" s="30"/>
      <c r="D15" s="30"/>
      <c r="E15" s="58"/>
    </row>
    <row r="16" customFormat="false" ht="15" hidden="false" customHeight="false" outlineLevel="0" collapsed="false">
      <c r="A16" s="58"/>
      <c r="B16" s="30"/>
      <c r="C16" s="30"/>
      <c r="D16" s="30"/>
      <c r="E16" s="58"/>
    </row>
    <row r="17" customFormat="false" ht="15" hidden="false" customHeight="false" outlineLevel="0" collapsed="false">
      <c r="A17" s="58"/>
      <c r="B17" s="30"/>
      <c r="C17" s="30"/>
      <c r="D17" s="30"/>
      <c r="E17" s="58"/>
    </row>
    <row r="18" customFormat="false" ht="15" hidden="false" customHeight="false" outlineLevel="0" collapsed="false">
      <c r="A18" s="58"/>
      <c r="B18" s="30"/>
      <c r="C18" s="30"/>
      <c r="D18" s="30"/>
      <c r="E18" s="58"/>
    </row>
    <row r="19" customFormat="false" ht="15" hidden="false" customHeight="false" outlineLevel="0" collapsed="false">
      <c r="A19" s="58"/>
      <c r="B19" s="30"/>
      <c r="C19" s="30"/>
      <c r="D19" s="30"/>
      <c r="E19" s="58"/>
    </row>
    <row r="20" customFormat="false" ht="15" hidden="false" customHeight="false" outlineLevel="0" collapsed="false">
      <c r="A20" s="58"/>
      <c r="B20" s="30"/>
      <c r="C20" s="30"/>
      <c r="D20" s="30"/>
      <c r="E20" s="58"/>
    </row>
    <row r="21" customFormat="false" ht="15" hidden="false" customHeight="false" outlineLevel="0" collapsed="false">
      <c r="A21" s="58"/>
      <c r="B21" s="30"/>
      <c r="C21" s="30"/>
      <c r="D21" s="30"/>
      <c r="E21" s="58"/>
    </row>
    <row r="22" customFormat="false" ht="15" hidden="false" customHeight="false" outlineLevel="0" collapsed="false">
      <c r="A22" s="58"/>
      <c r="B22" s="30"/>
      <c r="C22" s="30"/>
      <c r="D22" s="30"/>
      <c r="E22" s="58"/>
    </row>
    <row r="23" customFormat="false" ht="15" hidden="false" customHeight="false" outlineLevel="0" collapsed="false">
      <c r="A23" s="58"/>
      <c r="B23" s="30"/>
      <c r="C23" s="30"/>
      <c r="D23" s="30"/>
      <c r="E23" s="58"/>
    </row>
    <row r="24" customFormat="false" ht="15" hidden="false" customHeight="false" outlineLevel="0" collapsed="false">
      <c r="A24" s="58"/>
      <c r="B24" s="30"/>
      <c r="C24" s="30"/>
      <c r="D24" s="30"/>
      <c r="E24" s="58"/>
    </row>
    <row r="25" customFormat="false" ht="15" hidden="false" customHeight="false" outlineLevel="0" collapsed="false">
      <c r="A25" s="58"/>
      <c r="B25" s="30"/>
      <c r="C25" s="30"/>
      <c r="D25" s="30"/>
      <c r="E25" s="58"/>
    </row>
    <row r="26" customFormat="false" ht="15" hidden="false" customHeight="false" outlineLevel="0" collapsed="false">
      <c r="A26" s="58"/>
      <c r="B26" s="30"/>
      <c r="C26" s="30"/>
      <c r="D26" s="30"/>
      <c r="E26" s="58"/>
    </row>
    <row r="27" customFormat="false" ht="15" hidden="false" customHeight="false" outlineLevel="0" collapsed="false">
      <c r="A27" s="58"/>
      <c r="B27" s="30"/>
      <c r="C27" s="30"/>
      <c r="D27" s="30"/>
      <c r="E27" s="58"/>
    </row>
    <row r="28" customFormat="false" ht="15" hidden="false" customHeight="false" outlineLevel="0" collapsed="false">
      <c r="A28" s="58"/>
      <c r="B28" s="30"/>
      <c r="C28" s="30"/>
      <c r="D28" s="30"/>
      <c r="E28" s="58"/>
    </row>
    <row r="29" customFormat="false" ht="15" hidden="false" customHeight="false" outlineLevel="0" collapsed="false">
      <c r="A29" s="58"/>
      <c r="B29" s="30"/>
      <c r="C29" s="30"/>
      <c r="D29" s="30"/>
      <c r="E29" s="58"/>
    </row>
    <row r="30" customFormat="false" ht="15" hidden="false" customHeight="false" outlineLevel="0" collapsed="false">
      <c r="A30" s="58"/>
      <c r="B30" s="30"/>
      <c r="C30" s="30"/>
      <c r="D30" s="30"/>
      <c r="E30" s="58"/>
    </row>
    <row r="31" customFormat="false" ht="15" hidden="false" customHeight="false" outlineLevel="0" collapsed="false">
      <c r="A31" s="58"/>
      <c r="B31" s="30"/>
      <c r="C31" s="30"/>
      <c r="D31" s="30"/>
      <c r="E31" s="58"/>
    </row>
    <row r="32" customFormat="false" ht="15" hidden="false" customHeight="false" outlineLevel="0" collapsed="false">
      <c r="A32" s="58"/>
      <c r="B32" s="30"/>
      <c r="C32" s="30"/>
      <c r="D32" s="30"/>
      <c r="E32" s="58"/>
    </row>
    <row r="33" customFormat="false" ht="15" hidden="false" customHeight="false" outlineLevel="0" collapsed="false">
      <c r="A33" s="58"/>
      <c r="B33" s="30"/>
      <c r="C33" s="30"/>
      <c r="D33" s="30"/>
      <c r="E33" s="58"/>
    </row>
    <row r="34" customFormat="false" ht="15" hidden="false" customHeight="false" outlineLevel="0" collapsed="false">
      <c r="A34" s="58"/>
      <c r="B34" s="30"/>
      <c r="C34" s="30"/>
      <c r="D34" s="30"/>
      <c r="E34" s="58"/>
    </row>
    <row r="35" customFormat="false" ht="15" hidden="false" customHeight="false" outlineLevel="0" collapsed="false">
      <c r="A35" s="58"/>
      <c r="B35" s="30"/>
      <c r="C35" s="30"/>
      <c r="D35" s="30"/>
      <c r="E35" s="58"/>
    </row>
    <row r="36" customFormat="false" ht="15" hidden="false" customHeight="false" outlineLevel="0" collapsed="false">
      <c r="A36" s="58"/>
      <c r="B36" s="30"/>
      <c r="C36" s="30"/>
      <c r="D36" s="30"/>
      <c r="E36" s="58"/>
    </row>
    <row r="37" customFormat="false" ht="15" hidden="false" customHeight="false" outlineLevel="0" collapsed="false">
      <c r="A37" s="58"/>
      <c r="B37" s="30"/>
      <c r="C37" s="30"/>
      <c r="D37" s="30"/>
      <c r="E37" s="58"/>
    </row>
    <row r="38" customFormat="false" ht="15" hidden="false" customHeight="false" outlineLevel="0" collapsed="false">
      <c r="A38" s="58"/>
      <c r="B38" s="30"/>
      <c r="C38" s="30"/>
      <c r="D38" s="30"/>
      <c r="E38" s="58"/>
    </row>
    <row r="39" customFormat="false" ht="15" hidden="false" customHeight="false" outlineLevel="0" collapsed="false">
      <c r="A39" s="58"/>
      <c r="B39" s="30"/>
      <c r="C39" s="30"/>
      <c r="D39" s="30"/>
      <c r="E39" s="58"/>
    </row>
    <row r="40" customFormat="false" ht="15" hidden="false" customHeight="false" outlineLevel="0" collapsed="false">
      <c r="A40" s="58"/>
      <c r="B40" s="30"/>
      <c r="C40" s="30"/>
      <c r="D40" s="30"/>
      <c r="E40" s="58"/>
    </row>
    <row r="41" customFormat="false" ht="15" hidden="false" customHeight="false" outlineLevel="0" collapsed="false">
      <c r="A41" s="58"/>
      <c r="B41" s="30"/>
      <c r="C41" s="30"/>
      <c r="D41" s="30"/>
      <c r="E41" s="58"/>
    </row>
    <row r="42" customFormat="false" ht="15" hidden="false" customHeight="false" outlineLevel="0" collapsed="false">
      <c r="A42" s="58"/>
      <c r="B42" s="30"/>
      <c r="C42" s="30"/>
      <c r="D42" s="30"/>
      <c r="E42" s="58"/>
    </row>
    <row r="43" customFormat="false" ht="15" hidden="false" customHeight="false" outlineLevel="0" collapsed="false">
      <c r="A43" s="58"/>
      <c r="B43" s="30"/>
      <c r="C43" s="30"/>
      <c r="D43" s="30"/>
      <c r="E43" s="58"/>
    </row>
    <row r="44" customFormat="false" ht="15" hidden="false" customHeight="false" outlineLevel="0" collapsed="false">
      <c r="A44" s="58"/>
      <c r="B44" s="30"/>
      <c r="C44" s="30"/>
      <c r="D44" s="30"/>
      <c r="E44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26"/>
    <col collapsed="false" customWidth="true" hidden="false" outlineLevel="0" max="8" min="7" style="0" width="18"/>
  </cols>
  <sheetData>
    <row r="1" customFormat="false" ht="15" hidden="false" customHeight="false" outlineLevel="0" collapsed="false">
      <c r="A1" s="60" t="s">
        <v>189</v>
      </c>
    </row>
    <row r="2" customFormat="false" ht="15" hidden="false" customHeight="false" outlineLevel="0" collapsed="false">
      <c r="A2" s="40" t="s">
        <v>190</v>
      </c>
      <c r="B2" s="40" t="s">
        <v>191</v>
      </c>
      <c r="C2" s="40" t="s">
        <v>192</v>
      </c>
      <c r="D2" s="40" t="s">
        <v>56</v>
      </c>
      <c r="E2" s="40" t="s">
        <v>82</v>
      </c>
      <c r="F2" s="40" t="s">
        <v>193</v>
      </c>
      <c r="G2" s="40" t="s">
        <v>80</v>
      </c>
      <c r="H2" s="40" t="s">
        <v>194</v>
      </c>
    </row>
    <row r="3" customFormat="false" ht="15" hidden="false" customHeight="false" outlineLevel="0" collapsed="false">
      <c r="A3" s="61" t="s">
        <v>138</v>
      </c>
      <c r="B3" s="61" t="s">
        <v>195</v>
      </c>
      <c r="C3" s="61" t="s">
        <v>94</v>
      </c>
      <c r="D3" s="61" t="s">
        <v>16</v>
      </c>
      <c r="E3" s="61" t="s">
        <v>23</v>
      </c>
      <c r="F3" s="61" t="s">
        <v>196</v>
      </c>
      <c r="G3" s="61" t="s">
        <v>197</v>
      </c>
      <c r="H3" s="61" t="n">
        <v>7</v>
      </c>
    </row>
    <row r="4" customFormat="false" ht="15" hidden="false" customHeight="false" outlineLevel="0" collapsed="false">
      <c r="A4" s="61" t="s">
        <v>53</v>
      </c>
      <c r="B4" s="61" t="s">
        <v>198</v>
      </c>
      <c r="C4" s="61" t="s">
        <v>140</v>
      </c>
      <c r="D4" s="61" t="s">
        <v>18</v>
      </c>
      <c r="E4" s="61" t="s">
        <v>25</v>
      </c>
      <c r="F4" s="61" t="s">
        <v>199</v>
      </c>
      <c r="G4" s="61" t="s">
        <v>200</v>
      </c>
      <c r="H4" s="61" t="n">
        <v>14</v>
      </c>
    </row>
    <row r="5" customFormat="false" ht="15" hidden="false" customHeight="false" outlineLevel="0" collapsed="false">
      <c r="A5" s="61" t="s">
        <v>91</v>
      </c>
      <c r="B5" s="61" t="s">
        <v>201</v>
      </c>
      <c r="C5" s="61" t="s">
        <v>108</v>
      </c>
      <c r="D5" s="61" t="s">
        <v>20</v>
      </c>
      <c r="E5" s="61" t="s">
        <v>27</v>
      </c>
      <c r="F5" s="61" t="s">
        <v>202</v>
      </c>
      <c r="G5" s="61" t="s">
        <v>203</v>
      </c>
      <c r="H5" s="61" t="n">
        <v>30</v>
      </c>
    </row>
    <row r="6" customFormat="false" ht="15" hidden="false" customHeight="false" outlineLevel="0" collapsed="false">
      <c r="A6" s="61"/>
      <c r="B6" s="61"/>
      <c r="C6" s="61" t="s">
        <v>114</v>
      </c>
      <c r="E6" s="61" t="s">
        <v>29</v>
      </c>
      <c r="F6" s="61" t="s">
        <v>60</v>
      </c>
      <c r="G6" s="61" t="s">
        <v>204</v>
      </c>
      <c r="H6" s="61" t="n">
        <v>60</v>
      </c>
    </row>
    <row r="7" customFormat="false" ht="15" hidden="false" customHeight="false" outlineLevel="0" collapsed="false">
      <c r="A7" s="61"/>
      <c r="B7" s="61"/>
      <c r="C7" s="61" t="s">
        <v>127</v>
      </c>
      <c r="E7" s="61" t="s">
        <v>31</v>
      </c>
      <c r="F7" s="61" t="s">
        <v>205</v>
      </c>
      <c r="G7" s="61" t="s">
        <v>206</v>
      </c>
      <c r="H7" s="61" t="n">
        <v>90</v>
      </c>
    </row>
    <row r="8" customFormat="false" ht="15" hidden="false" customHeight="false" outlineLevel="0" collapsed="false">
      <c r="A8" s="61"/>
      <c r="B8" s="61"/>
      <c r="C8" s="61" t="s">
        <v>133</v>
      </c>
      <c r="F8" s="61" t="s">
        <v>207</v>
      </c>
    </row>
    <row r="9" customFormat="false" ht="15" hidden="false" customHeight="false" outlineLevel="0" collapsed="false">
      <c r="A9" s="61"/>
      <c r="B9" s="61"/>
      <c r="C9" s="61" t="s">
        <v>121</v>
      </c>
      <c r="F9" s="61"/>
    </row>
    <row r="10" customFormat="false" ht="15" hidden="false" customHeight="false" outlineLevel="0" collapsed="false">
      <c r="A10" s="61"/>
      <c r="B10" s="61"/>
      <c r="C10" s="61" t="s">
        <v>208</v>
      </c>
      <c r="F10" s="61"/>
    </row>
    <row r="11" customFormat="false" ht="15" hidden="false" customHeight="false" outlineLevel="0" collapsed="false">
      <c r="A11" s="61"/>
      <c r="B11" s="61"/>
      <c r="C11" s="61" t="s">
        <v>209</v>
      </c>
      <c r="F11" s="61"/>
    </row>
    <row r="12" customFormat="false" ht="15" hidden="false" customHeight="false" outlineLevel="0" collapsed="false">
      <c r="A12" s="61"/>
      <c r="B12" s="61"/>
      <c r="C12" s="61"/>
      <c r="F12" s="61"/>
    </row>
    <row r="13" customFormat="false" ht="15" hidden="false" customHeight="false" outlineLevel="0" collapsed="false">
      <c r="C13" s="61"/>
      <c r="F13" s="61"/>
    </row>
    <row r="14" customFormat="false" ht="15" hidden="false" customHeight="false" outlineLevel="0" collapsed="false">
      <c r="C14" s="61"/>
      <c r="F14" s="6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2026-09-29T18:09:37Z</dcterms:created>
  <dc:creator>openpyxl</dc:creator>
  <dc:description/>
  <dc:language>en-US</dc:language>
  <cp:lastModifiedBy/>
  <dcterms:modified xsi:type="dcterms:W3CDTF">2026-09-29T18:09:37Z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